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TT\OneDrive\Desktop\Projects\"/>
    </mc:Choice>
  </mc:AlternateContent>
  <xr:revisionPtr revIDLastSave="0" documentId="13_ncr:1_{8AB8AF8A-334F-4584-8F69-C9390A8A7A97}" xr6:coauthVersionLast="47" xr6:coauthVersionMax="47" xr10:uidLastSave="{00000000-0000-0000-0000-000000000000}"/>
  <bookViews>
    <workbookView xWindow="-110" yWindow="-110" windowWidth="19420" windowHeight="10300" tabRatio="988" firstSheet="4" activeTab="8" xr2:uid="{00000000-000D-0000-FFFF-FFFF00000000}"/>
  </bookViews>
  <sheets>
    <sheet name="Product by Quantity " sheetId="4" r:id="rId1"/>
    <sheet name="RCS" sheetId="11" r:id="rId2"/>
    <sheet name="TOP 3 PRODUCT " sheetId="10" r:id="rId3"/>
    <sheet name="Month by Sales " sheetId="7" r:id="rId4"/>
    <sheet name="Catecary by Sales " sheetId="8" r:id="rId5"/>
    <sheet name="Region by Sales " sheetId="9" r:id="rId6"/>
    <sheet name="Region by Profit " sheetId="13" r:id="rId7"/>
    <sheet name="catetory by profit " sheetId="14" r:id="rId8"/>
    <sheet name="Month by profit " sheetId="16" r:id="rId9"/>
    <sheet name="Sheet9" sheetId="15" r:id="rId10"/>
    <sheet name="Sales_Data" sheetId="1" r:id="rId11"/>
  </sheets>
  <definedNames>
    <definedName name="_xlcn.WorksheetConnection_large_sales_dataset.xlsxTable11" hidden="1">Table1[]</definedName>
  </definedNames>
  <calcPr calcId="191029"/>
  <pivotCaches>
    <pivotCache cacheId="0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8" r:id="rId19"/>
    <pivotCache cacheId="9" r:id="rId20"/>
    <pivotCache cacheId="12" r:id="rId21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large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L2" i="1"/>
  <c r="N2" i="1"/>
  <c r="M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BF4F2B-B0D3-4B61-A5ED-42F4B5A77A9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618290D-1095-444B-AC3A-C4BAE33B3789}" name="WorksheetConnection_large_sales_dataset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large_sales_dataset.xlsxTable11"/>
        </x15:connection>
      </ext>
    </extLst>
  </connection>
</connections>
</file>

<file path=xl/sharedStrings.xml><?xml version="1.0" encoding="utf-8"?>
<sst xmlns="http://schemas.openxmlformats.org/spreadsheetml/2006/main" count="900" uniqueCount="118">
  <si>
    <t>Order_ID</t>
  </si>
  <si>
    <t>Date</t>
  </si>
  <si>
    <t>Region</t>
  </si>
  <si>
    <t>Product</t>
  </si>
  <si>
    <t>Category</t>
  </si>
  <si>
    <t>Quantity</t>
  </si>
  <si>
    <t>Price</t>
  </si>
  <si>
    <t>Revenue</t>
  </si>
  <si>
    <t>2024-02-07</t>
  </si>
  <si>
    <t>South</t>
  </si>
  <si>
    <t>Bed</t>
  </si>
  <si>
    <t>Furniture</t>
  </si>
  <si>
    <t>2024-03-28</t>
  </si>
  <si>
    <t>West</t>
  </si>
  <si>
    <t>Laptop</t>
  </si>
  <si>
    <t>Electronics</t>
  </si>
  <si>
    <t>2024-01-30</t>
  </si>
  <si>
    <t>East</t>
  </si>
  <si>
    <t>Chair</t>
  </si>
  <si>
    <t>2024-01-29</t>
  </si>
  <si>
    <t>Keyboard</t>
  </si>
  <si>
    <t>2024-01-16</t>
  </si>
  <si>
    <t>2024-02-10</t>
  </si>
  <si>
    <t>Monitor</t>
  </si>
  <si>
    <t>2024-02-26</t>
  </si>
  <si>
    <t>Sofa</t>
  </si>
  <si>
    <t>2024-01-18</t>
  </si>
  <si>
    <t>Mouse</t>
  </si>
  <si>
    <t>2024-01-19</t>
  </si>
  <si>
    <t>2024-01-13</t>
  </si>
  <si>
    <t>2024-03-31</t>
  </si>
  <si>
    <t>North</t>
  </si>
  <si>
    <t>Headphones</t>
  </si>
  <si>
    <t>2024-01-24</t>
  </si>
  <si>
    <t>2024-01-28</t>
  </si>
  <si>
    <t>2024-03-04</t>
  </si>
  <si>
    <t>2024-02-06</t>
  </si>
  <si>
    <t>2024-01-31</t>
  </si>
  <si>
    <t>2024-03-11</t>
  </si>
  <si>
    <t>2024-02-20</t>
  </si>
  <si>
    <t>2024-03-19</t>
  </si>
  <si>
    <t>Mobile</t>
  </si>
  <si>
    <t>2024-01-02</t>
  </si>
  <si>
    <t>2024-03-09</t>
  </si>
  <si>
    <t>2024-02-24</t>
  </si>
  <si>
    <t>Table</t>
  </si>
  <si>
    <t>2024-03-24</t>
  </si>
  <si>
    <t>2024-03-07</t>
  </si>
  <si>
    <t>2024-01-17</t>
  </si>
  <si>
    <t>2024-01-26</t>
  </si>
  <si>
    <t>2024-02-18</t>
  </si>
  <si>
    <t>2024-03-25</t>
  </si>
  <si>
    <t>2024-03-15</t>
  </si>
  <si>
    <t>2024-03-20</t>
  </si>
  <si>
    <t>2024-01-03</t>
  </si>
  <si>
    <t>2024-02-12</t>
  </si>
  <si>
    <t>2024-02-19</t>
  </si>
  <si>
    <t>2024-03-23</t>
  </si>
  <si>
    <t>2024-02-01</t>
  </si>
  <si>
    <t>2024-02-02</t>
  </si>
  <si>
    <t>2024-01-11</t>
  </si>
  <si>
    <t>2024-02-08</t>
  </si>
  <si>
    <t>2024-01-09</t>
  </si>
  <si>
    <t>2024-02-04</t>
  </si>
  <si>
    <t>2024-03-02</t>
  </si>
  <si>
    <t>2024-01-04</t>
  </si>
  <si>
    <t>2024-01-20</t>
  </si>
  <si>
    <t>2024-02-21</t>
  </si>
  <si>
    <t>2024-02-25</t>
  </si>
  <si>
    <t>2024-01-08</t>
  </si>
  <si>
    <t>2024-01-06</t>
  </si>
  <si>
    <t>2024-02-14</t>
  </si>
  <si>
    <t>2024-01-23</t>
  </si>
  <si>
    <t>2024-02-09</t>
  </si>
  <si>
    <t>2024-03-06</t>
  </si>
  <si>
    <t>2024-03-16</t>
  </si>
  <si>
    <t>2024-02-16</t>
  </si>
  <si>
    <t>2024-01-15</t>
  </si>
  <si>
    <t>2024-03-29</t>
  </si>
  <si>
    <t>2024-02-13</t>
  </si>
  <si>
    <t>2024-03-27</t>
  </si>
  <si>
    <t>2024-03-30</t>
  </si>
  <si>
    <t>2024-03-08</t>
  </si>
  <si>
    <t>2024-02-05</t>
  </si>
  <si>
    <t>2024-03-10</t>
  </si>
  <si>
    <t>2024-02-11</t>
  </si>
  <si>
    <t>2024-03-26</t>
  </si>
  <si>
    <t>2024-01-10</t>
  </si>
  <si>
    <t>2024-02-29</t>
  </si>
  <si>
    <t>2024-03-17</t>
  </si>
  <si>
    <t>2024-03-03</t>
  </si>
  <si>
    <t>2024-02-22</t>
  </si>
  <si>
    <t>2024-01-25</t>
  </si>
  <si>
    <t>2024-01-05</t>
  </si>
  <si>
    <t>2024-01-12</t>
  </si>
  <si>
    <t>2024-03-01</t>
  </si>
  <si>
    <t>2024-01-22</t>
  </si>
  <si>
    <t>2024-02-15</t>
  </si>
  <si>
    <t>2024-01-14</t>
  </si>
  <si>
    <t>2024-02-23</t>
  </si>
  <si>
    <t>2024-02-03</t>
  </si>
  <si>
    <t>2024-01-27</t>
  </si>
  <si>
    <t>2024-03-13</t>
  </si>
  <si>
    <t xml:space="preserve">Total Sales </t>
  </si>
  <si>
    <t xml:space="preserve">Total Quntity </t>
  </si>
  <si>
    <t xml:space="preserve">Average Price </t>
  </si>
  <si>
    <t>Row Labels</t>
  </si>
  <si>
    <t>Grand Total</t>
  </si>
  <si>
    <t>Sum of Revenue</t>
  </si>
  <si>
    <t>Sum of Quantity</t>
  </si>
  <si>
    <t>Column Labels</t>
  </si>
  <si>
    <t xml:space="preserve">Month </t>
  </si>
  <si>
    <t>Jan</t>
  </si>
  <si>
    <t>Feb</t>
  </si>
  <si>
    <t>Mar</t>
  </si>
  <si>
    <t xml:space="preserve">Profit </t>
  </si>
  <si>
    <t xml:space="preserve">Total profit 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</si>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</sst>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0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[large_sales_dataset.xlsx]Product by Quantity 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by Quantity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by Quantity '!$A$4:$A$14</c:f>
              <c:strCache>
                <c:ptCount val="10"/>
                <c:pt idx="0">
                  <c:v>Bed</c:v>
                </c:pt>
                <c:pt idx="1">
                  <c:v>Chair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Mobile</c:v>
                </c:pt>
                <c:pt idx="6">
                  <c:v>Monitor</c:v>
                </c:pt>
                <c:pt idx="7">
                  <c:v>Mouse</c:v>
                </c:pt>
                <c:pt idx="8">
                  <c:v>Sofa</c:v>
                </c:pt>
                <c:pt idx="9">
                  <c:v>Table</c:v>
                </c:pt>
              </c:strCache>
            </c:strRef>
          </c:cat>
          <c:val>
            <c:numRef>
              <c:f>'Product by Quantity '!$B$4:$B$14</c:f>
              <c:numCache>
                <c:formatCode>General</c:formatCode>
                <c:ptCount val="10"/>
                <c:pt idx="0">
                  <c:v>140</c:v>
                </c:pt>
                <c:pt idx="1">
                  <c:v>93</c:v>
                </c:pt>
                <c:pt idx="2">
                  <c:v>121</c:v>
                </c:pt>
                <c:pt idx="3">
                  <c:v>108</c:v>
                </c:pt>
                <c:pt idx="4">
                  <c:v>122</c:v>
                </c:pt>
                <c:pt idx="5">
                  <c:v>61</c:v>
                </c:pt>
                <c:pt idx="6">
                  <c:v>120</c:v>
                </c:pt>
                <c:pt idx="7">
                  <c:v>121</c:v>
                </c:pt>
                <c:pt idx="8">
                  <c:v>131</c:v>
                </c:pt>
                <c:pt idx="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F-46FB-82A4-53ADD6518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0004272"/>
        <c:axId val="1360006672"/>
      </c:barChart>
      <c:catAx>
        <c:axId val="136000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006672"/>
        <c:crosses val="autoZero"/>
        <c:auto val="1"/>
        <c:lblAlgn val="ctr"/>
        <c:lblOffset val="100"/>
        <c:noMultiLvlLbl val="0"/>
      </c:catAx>
      <c:valAx>
        <c:axId val="136000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00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[large_sales_dataset.xlsx]RCS!PivotTable6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RCS!$B$3:$B$4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RCS!$A$5:$A$9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RCS!$B$5:$B$9</c:f>
              <c:numCache>
                <c:formatCode>General</c:formatCode>
                <c:ptCount val="4"/>
                <c:pt idx="0">
                  <c:v>2763900</c:v>
                </c:pt>
                <c:pt idx="1">
                  <c:v>1870700</c:v>
                </c:pt>
                <c:pt idx="2">
                  <c:v>1573100</c:v>
                </c:pt>
                <c:pt idx="3">
                  <c:v>2806600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B-4B88-B6F5-13916F9FD970}"/>
            </c:ext>
          </c:extLst>
        </c:ser>
        <c:ser>
          <c:idx val="1"/>
          <c:order val="1"/>
          <c:tx>
            <c:strRef>
              <c:f>RCS!$C$3:$C$4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RCS!$A$5:$A$9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RCS!$C$5:$C$9</c:f>
              <c:numCache>
                <c:formatCode>General</c:formatCode>
                <c:ptCount val="4"/>
                <c:pt idx="0">
                  <c:v>2463000</c:v>
                </c:pt>
                <c:pt idx="1">
                  <c:v>1573000</c:v>
                </c:pt>
                <c:pt idx="2">
                  <c:v>2103000</c:v>
                </c:pt>
                <c:pt idx="3">
                  <c:v>2100000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BB-4B88-B6F5-13916F9FD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9500112"/>
        <c:axId val="1559500592"/>
      </c:barChart>
      <c:catAx>
        <c:axId val="1559500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500592"/>
        <c:crosses val="autoZero"/>
        <c:auto val="1"/>
        <c:lblAlgn val="ctr"/>
        <c:lblOffset val="100"/>
        <c:noMultiLvlLbl val="0"/>
      </c:catAx>
      <c:valAx>
        <c:axId val="155950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50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[large_sales_dataset.xlsx]Month by Sales 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 by Sales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 by Sales '!$A$4:$A$7</c:f>
              <c:strCache>
                <c:ptCount val="3"/>
                <c:pt idx="0">
                  <c:v>Feb</c:v>
                </c:pt>
                <c:pt idx="1">
                  <c:v>Jan</c:v>
                </c:pt>
                <c:pt idx="2">
                  <c:v>Mar</c:v>
                </c:pt>
              </c:strCache>
            </c:strRef>
          </c:cat>
          <c:val>
            <c:numRef>
              <c:f>'Month by Sales '!$B$4:$B$7</c:f>
              <c:numCache>
                <c:formatCode>General</c:formatCode>
                <c:ptCount val="3"/>
                <c:pt idx="0">
                  <c:v>6512600</c:v>
                </c:pt>
                <c:pt idx="1">
                  <c:v>7276900</c:v>
                </c:pt>
                <c:pt idx="2">
                  <c:v>3463800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31-49DA-B920-FC4BE1839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3604976"/>
        <c:axId val="1973613616"/>
      </c:lineChart>
      <c:catAx>
        <c:axId val="197360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613616"/>
        <c:crosses val="autoZero"/>
        <c:auto val="1"/>
        <c:lblAlgn val="ctr"/>
        <c:lblOffset val="100"/>
        <c:noMultiLvlLbl val="0"/>
      </c:catAx>
      <c:valAx>
        <c:axId val="197361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60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[large_sales_dataset.xlsx]Catecary by Sales 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'Catecary by Sales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63-4640-905A-9885612632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63-4640-905A-98856126328D}"/>
              </c:ext>
            </c:extLst>
          </c:dPt>
          <c:cat>
            <c:strRef>
              <c:f>'Catecary by Sales 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'Catecary by Sales '!$B$4:$B$6</c:f>
              <c:numCache>
                <c:formatCode>General</c:formatCode>
                <c:ptCount val="2"/>
                <c:pt idx="0">
                  <c:v>9014300</c:v>
                </c:pt>
                <c:pt idx="1">
                  <c:v>8239000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8-4AF6-A534-95C872906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[large_sales_dataset.xlsx]Region by Sales 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by Sales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by Sales 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by Sales '!$B$4:$B$8</c:f>
              <c:numCache>
                <c:formatCode>General</c:formatCode>
                <c:ptCount val="4"/>
                <c:pt idx="0">
                  <c:v>5226900</c:v>
                </c:pt>
                <c:pt idx="1">
                  <c:v>3443700</c:v>
                </c:pt>
                <c:pt idx="2">
                  <c:v>3676100</c:v>
                </c:pt>
                <c:pt idx="3">
                  <c:v>4906600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D-42A8-8FBF-CD62424DC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3608816"/>
        <c:axId val="1973609296"/>
      </c:barChart>
      <c:catAx>
        <c:axId val="1973608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609296"/>
        <c:crosses val="autoZero"/>
        <c:auto val="1"/>
        <c:lblAlgn val="ctr"/>
        <c:lblOffset val="100"/>
        <c:noMultiLvlLbl val="0"/>
      </c:catAx>
      <c:valAx>
        <c:axId val="197360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60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[large_sales_dataset.xlsx]Region by Profit 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by Profit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by Profit 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by Profit '!$B$4:$B$8</c:f>
              <c:numCache>
                <c:formatCode>General</c:formatCode>
                <c:ptCount val="4"/>
                <c:pt idx="0">
                  <c:v>62722800</c:v>
                </c:pt>
                <c:pt idx="1">
                  <c:v>41324400</c:v>
                </c:pt>
                <c:pt idx="2">
                  <c:v>44113200</c:v>
                </c:pt>
                <c:pt idx="3">
                  <c:v>58879200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9-4ACA-9376-EA8CFA93A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9263792"/>
        <c:axId val="469251792"/>
      </c:barChart>
      <c:catAx>
        <c:axId val="46926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251792"/>
        <c:crosses val="autoZero"/>
        <c:auto val="1"/>
        <c:lblAlgn val="ctr"/>
        <c:lblOffset val="100"/>
        <c:noMultiLvlLbl val="0"/>
      </c:catAx>
      <c:valAx>
        <c:axId val="46925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26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[large_sales_dataset.xlsx]catetory by profit 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'catetory by profit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BF-4BEE-BE7A-041BBF25F7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BF-4BEE-BE7A-041BBF25F700}"/>
              </c:ext>
            </c:extLst>
          </c:dPt>
          <c:cat>
            <c:strRef>
              <c:f>'catetory by profit 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'catetory by profit '!$B$4:$B$6</c:f>
              <c:numCache>
                <c:formatCode>General</c:formatCode>
                <c:ptCount val="2"/>
                <c:pt idx="0">
                  <c:v>108171600</c:v>
                </c:pt>
                <c:pt idx="1">
                  <c:v>98868000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F-4508-8F94-734B5A0B8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[large_sales_dataset.xlsx]Month by profit 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 by profit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 by profit 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 by profit '!$B$4:$B$7</c:f>
              <c:numCache>
                <c:formatCode>General</c:formatCode>
                <c:ptCount val="3"/>
                <c:pt idx="0">
                  <c:v>87322800</c:v>
                </c:pt>
                <c:pt idx="1">
                  <c:v>78151200</c:v>
                </c:pt>
                <c:pt idx="2">
                  <c:v>41565600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9-4D63-9AF2-B3787E975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5864048"/>
        <c:axId val="1555864528"/>
      </c:lineChart>
      <c:catAx>
        <c:axId val="155586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864528"/>
        <c:crosses val="autoZero"/>
        <c:auto val="1"/>
        <c:lblAlgn val="ctr"/>
        <c:lblOffset val="100"/>
        <c:noMultiLvlLbl val="0"/>
      </c:catAx>
      <c:valAx>
        <c:axId val="155586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86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[large_sales_dataset.xlsx]Sheet9!PivotTable10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Sheet9!$A$4:$A$14</c:f>
              <c:strCache>
                <c:ptCount val="10"/>
                <c:pt idx="0">
                  <c:v>Bed</c:v>
                </c:pt>
                <c:pt idx="1">
                  <c:v>Chair</c:v>
                </c:pt>
                <c:pt idx="2">
                  <c:v>Headphones</c:v>
                </c:pt>
                <c:pt idx="3">
                  <c:v>Keyboard</c:v>
                </c:pt>
                <c:pt idx="4">
                  <c:v>Laptop</c:v>
                </c:pt>
                <c:pt idx="5">
                  <c:v>Mobile</c:v>
                </c:pt>
                <c:pt idx="6">
                  <c:v>Monitor</c:v>
                </c:pt>
                <c:pt idx="7">
                  <c:v>Mouse</c:v>
                </c:pt>
                <c:pt idx="8">
                  <c:v>Sofa</c:v>
                </c:pt>
                <c:pt idx="9">
                  <c:v>Table</c:v>
                </c:pt>
              </c:strCache>
            </c:strRef>
          </c:cat>
          <c:val>
            <c:numRef>
              <c:f>Sheet9!$B$4:$B$14</c:f>
              <c:numCache>
                <c:formatCode>General</c:formatCode>
                <c:ptCount val="10"/>
                <c:pt idx="0">
                  <c:v>42000000</c:v>
                </c:pt>
                <c:pt idx="1">
                  <c:v>2232000</c:v>
                </c:pt>
                <c:pt idx="2">
                  <c:v>2178000</c:v>
                </c:pt>
                <c:pt idx="3">
                  <c:v>2592000</c:v>
                </c:pt>
                <c:pt idx="4">
                  <c:v>73200000</c:v>
                </c:pt>
                <c:pt idx="5">
                  <c:v>14640000</c:v>
                </c:pt>
                <c:pt idx="6">
                  <c:v>14400000</c:v>
                </c:pt>
                <c:pt idx="7">
                  <c:v>1161600</c:v>
                </c:pt>
                <c:pt idx="8">
                  <c:v>47160000</c:v>
                </c:pt>
                <c:pt idx="9">
                  <c:v>7476000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5-41FF-B856-54BAC3243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2937168"/>
        <c:axId val="992939088"/>
      </c:barChart>
      <c:catAx>
        <c:axId val="99293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939088"/>
        <c:crosses val="autoZero"/>
        <c:auto val="1"/>
        <c:lblAlgn val="ctr"/>
        <c:lblOffset val="100"/>
        <c:noMultiLvlLbl val="0"/>
      </c:catAx>
      <c:valAx>
        <c:axId val="99293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93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501650</xdr:colOff>
      <xdr:row>1</xdr:row>
      <xdr:rowOff>165100</xdr:rowOff>
    </xdr:from>
    <xdr:to>
      <xdr:col>11</xdr:col>
      <xdr:colOff>95250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E4EB24-4581-DC2D-8CA0-55D896C06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</xdr:row>
      <xdr:rowOff>44450</xdr:rowOff>
    </xdr:from>
    <xdr:to>
      <xdr:col>11</xdr:col>
      <xdr:colOff>438150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765B4-5A50-813A-AE71-6082EDE76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1</xdr:row>
      <xdr:rowOff>63500</xdr:rowOff>
    </xdr:from>
    <xdr:to>
      <xdr:col>10</xdr:col>
      <xdr:colOff>25400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A04A9-D3AB-848F-7BE8-CE2856627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127000</xdr:colOff>
      <xdr:row>1</xdr:row>
      <xdr:rowOff>63500</xdr:rowOff>
    </xdr:from>
    <xdr:to>
      <xdr:col>8</xdr:col>
      <xdr:colOff>101600</xdr:colOff>
      <xdr:row>13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944AEE-2A1A-703F-26DA-D688174FC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196850</xdr:colOff>
      <xdr:row>2</xdr:row>
      <xdr:rowOff>6350</xdr:rowOff>
    </xdr:from>
    <xdr:to>
      <xdr:col>9</xdr:col>
      <xdr:colOff>501650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10A875-3EE2-B1BE-A8E0-D570DCD59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0</xdr:row>
      <xdr:rowOff>146050</xdr:rowOff>
    </xdr:from>
    <xdr:to>
      <xdr:col>9</xdr:col>
      <xdr:colOff>584200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EAEE57-34F2-B63C-5532-BA927707E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1</xdr:row>
      <xdr:rowOff>82550</xdr:rowOff>
    </xdr:from>
    <xdr:to>
      <xdr:col>9</xdr:col>
      <xdr:colOff>596900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4AFD9-E5E1-AB3A-40B8-97146722D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425450</xdr:colOff>
      <xdr:row>1</xdr:row>
      <xdr:rowOff>50800</xdr:rowOff>
    </xdr:from>
    <xdr:to>
      <xdr:col>10</xdr:col>
      <xdr:colOff>120650</xdr:colOff>
      <xdr:row>16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215B6B-56A6-796A-DF1D-4208813B0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127000</xdr:rowOff>
    </xdr:from>
    <xdr:to>
      <xdr:col>9</xdr:col>
      <xdr:colOff>533400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B77ABA-3713-9E12-635D-140495394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TT" refreshedDate="46132.727171296297" backgroundQuery="1" createdVersion="8" refreshedVersion="8" minRefreshableVersion="3" recordCount="0" supportSubquery="1" supportAdvancedDrill="1" xr:uid="{76DEAAF8-336E-4A47-92FA-E2E6E09438C2}">
  <cacheSource type="external" connectionId="1"/>
  <cacheFields count="2">
    <cacheField name="[Measures].[Sum of Profit]" caption="Sum of Profit" numFmtId="0" hierarchy="17" level="32767"/>
    <cacheField name="[Table1].[Month].[Month]" caption="Month" numFmtId="0" hierarchy="1" level="1">
      <sharedItems count="3">
        <s v="Feb"/>
        <s v="Jan"/>
        <s v="Mar"/>
      </sharedItems>
    </cacheField>
  </cacheFields>
  <cacheHierarchies count="18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TT" refreshedDate="46132.727174421299" backgroundQuery="1" createdVersion="8" refreshedVersion="8" minRefreshableVersion="3" recordCount="0" supportSubquery="1" supportAdvancedDrill="1" xr:uid="{E63D6B66-059D-4A8D-B7A3-67E0A14B1503}">
  <cacheSource type="external" connectionId="1"/>
  <cacheFields count="2">
    <cacheField name="[Measures].[Sum of Profit]" caption="Sum of Profit" numFmtId="0" hierarchy="17" level="32767"/>
    <cacheField name="[Table1].[Category].[Category]" caption="Category" numFmtId="0" hierarchy="5" level="1">
      <sharedItems count="2">
        <s v="Electronics"/>
        <s v="Furniture"/>
      </sharedItems>
    </cacheField>
  </cacheFields>
  <cacheHierarchies count="18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TT" refreshedDate="46132.727175694446" backgroundQuery="1" createdVersion="8" refreshedVersion="8" minRefreshableVersion="3" recordCount="0" supportSubquery="1" supportAdvancedDrill="1" xr:uid="{C5A4404E-2718-4432-9872-16576B15CA56}">
  <cacheSource type="external" connectionId="1"/>
  <cacheFields count="2">
    <cacheField name="[Measures].[Sum of Profit]" caption="Sum of Profit" numFmtId="0" hierarchy="17" level="32767"/>
    <cacheField name="[Table1].[Region].[Region]" caption="Region" numFmtId="0" hierarchy="3" level="1">
      <sharedItems count="4">
        <s v="East"/>
        <s v="North"/>
        <s v="South"/>
        <s v="West"/>
      </sharedItems>
    </cacheField>
  </cacheFields>
  <cacheHierarchies count="18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TT" refreshedDate="46132.727176967594" backgroundQuery="1" createdVersion="8" refreshedVersion="8" minRefreshableVersion="3" recordCount="0" supportSubquery="1" supportAdvancedDrill="1" xr:uid="{73738230-6F8B-4C59-9F0C-DAA3E8A8C0C7}">
  <cacheSource type="external" connectionId="1"/>
  <cacheFields count="2">
    <cacheField name="[Measures].[Sum of Revenue]" caption="Sum of Revenue" numFmtId="0" hierarchy="12" level="32767"/>
    <cacheField name="[Table1].[Region].[Region]" caption="Region" numFmtId="0" hierarchy="3" level="1">
      <sharedItems count="4">
        <s v="East"/>
        <s v="North"/>
        <s v="South"/>
        <s v="West"/>
      </sharedItems>
    </cacheField>
  </cacheFields>
  <cacheHierarchies count="18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TT" refreshedDate="46132.727178356479" backgroundQuery="1" createdVersion="8" refreshedVersion="8" minRefreshableVersion="3" recordCount="0" supportSubquery="1" supportAdvancedDrill="1" xr:uid="{3318561C-CB7B-4656-B265-4C7F887C4E66}">
  <cacheSource type="external" connectionId="1"/>
  <cacheFields count="2">
    <cacheField name="[Table1].[Category].[Category]" caption="Category" numFmtId="0" hierarchy="5" level="1">
      <sharedItems count="2">
        <s v="Electronics"/>
        <s v="Furniture"/>
      </sharedItems>
    </cacheField>
    <cacheField name="[Measures].[Sum of Revenue]" caption="Sum of Revenue" numFmtId="0" hierarchy="12" level="32767"/>
  </cacheFields>
  <cacheHierarchies count="18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TT" refreshedDate="46132.727179745372" backgroundQuery="1" createdVersion="8" refreshedVersion="8" minRefreshableVersion="3" recordCount="0" supportSubquery="1" supportAdvancedDrill="1" xr:uid="{9570DFB8-71A4-44C9-8185-C8BF6C855154}">
  <cacheSource type="external" connectionId="1"/>
  <cacheFields count="2">
    <cacheField name="[Table1].[Month].[Month]" caption="Month" numFmtId="0" hierarchy="1" level="1">
      <sharedItems count="3">
        <s v="Feb"/>
        <s v="Jan"/>
        <s v="Mar"/>
      </sharedItems>
    </cacheField>
    <cacheField name="[Measures].[Sum of Revenue]" caption="Sum of Revenue" numFmtId="0" hierarchy="12" level="32767"/>
  </cacheFields>
  <cacheHierarchies count="18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TT" refreshedDate="46132.727181134258" backgroundQuery="1" createdVersion="8" refreshedVersion="8" minRefreshableVersion="3" recordCount="0" supportSubquery="1" supportAdvancedDrill="1" xr:uid="{0C1F8C7E-54FA-4A3C-A797-06FFC1FC246F}">
  <cacheSource type="external" connectionId="1"/>
  <cacheFields count="2">
    <cacheField name="[Measures].[Sum of Revenue]" caption="Sum of Revenue" numFmtId="0" hierarchy="12" level="32767"/>
    <cacheField name="[Table1].[Product].[Product]" caption="Product" numFmtId="0" hierarchy="4" level="1">
      <sharedItems count="10">
        <s v="Bed"/>
        <s v="Chair"/>
        <s v="Headphones"/>
        <s v="Keyboard"/>
        <s v="Laptop"/>
        <s v="Mobile"/>
        <s v="Monitor"/>
        <s v="Mouse"/>
        <s v="Sofa"/>
        <s v="Table"/>
      </sharedItems>
    </cacheField>
  </cacheFields>
  <cacheHierarchies count="18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TT" refreshedDate="46132.727182407405" backgroundQuery="1" createdVersion="8" refreshedVersion="8" minRefreshableVersion="3" recordCount="0" supportSubquery="1" supportAdvancedDrill="1" xr:uid="{8589D0B7-88B8-4EF6-B432-52AC51B0662F}">
  <cacheSource type="external" connectionId="1"/>
  <cacheFields count="3">
    <cacheField name="[Table1].[Region].[Region]" caption="Region" numFmtId="0" hierarchy="3" level="1">
      <sharedItems count="4">
        <s v="East"/>
        <s v="North"/>
        <s v="South"/>
        <s v="West"/>
      </sharedItems>
    </cacheField>
    <cacheField name="[Measures].[Sum of Revenue]" caption="Sum of Revenue" numFmtId="0" hierarchy="12" level="32767"/>
    <cacheField name="[Table1].[Category].[Category]" caption="Category" numFmtId="0" hierarchy="5" level="1">
      <sharedItems count="2">
        <s v="Electronics"/>
        <s v="Furniture"/>
      </sharedItems>
    </cacheField>
  </cacheFields>
  <cacheHierarchies count="18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TT" refreshedDate="46132.727183912037" backgroundQuery="1" createdVersion="8" refreshedVersion="8" minRefreshableVersion="3" recordCount="0" supportSubquery="1" supportAdvancedDrill="1" xr:uid="{8850B193-23DC-4A60-869F-0B9238B385A4}">
  <cacheSource type="external" connectionId="1"/>
  <cacheFields count="2">
    <cacheField name="[Table1].[Product].[Product]" caption="Product" numFmtId="0" hierarchy="4" level="1">
      <sharedItems count="10">
        <s v="Bed"/>
        <s v="Chair"/>
        <s v="Headphones"/>
        <s v="Keyboard"/>
        <s v="Laptop"/>
        <s v="Mobile"/>
        <s v="Monitor"/>
        <s v="Mouse"/>
        <s v="Sofa"/>
        <s v="Table"/>
      </sharedItems>
    </cacheField>
    <cacheField name="[Measures].[Sum of Quantity]" caption="Sum of Quantity" numFmtId="0" hierarchy="13" level="32767"/>
  </cacheFields>
  <cacheHierarchies count="18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TT" refreshedDate="46132.788292592595" backgroundQuery="1" createdVersion="8" refreshedVersion="8" minRefreshableVersion="3" recordCount="0" supportSubquery="1" supportAdvancedDrill="1" xr:uid="{6E26C786-50D2-4242-83C3-929BE560727C}">
  <cacheSource type="external" connectionId="1"/>
  <cacheFields count="2">
    <cacheField name="[Measures].[Sum of Profit]" caption="Sum of Profit" numFmtId="0" hierarchy="17" level="32767"/>
    <cacheField name="[Table1].[Product].[Product]" caption="Product" numFmtId="0" hierarchy="4" level="1">
      <sharedItems count="10">
        <s v="Bed"/>
        <s v="Chair"/>
        <s v="Headphones"/>
        <s v="Keyboard"/>
        <s v="Laptop"/>
        <s v="Mobile"/>
        <s v="Monitor"/>
        <s v="Mouse"/>
        <s v="Sofa"/>
        <s v="Table"/>
      </sharedItems>
    </cacheField>
  </cacheFields>
  <cacheHierarchies count="18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Date]" caption="Date" attribute="1" defaultMemberUniqueName="[Table1].[Date].[All]" allUniqueName="[Table1].[Dat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Price]" caption="Price" attribute="1" defaultMemberUniqueName="[Table1].[Price].[All]" allUniqueName="[Table1].[Price].[All]" dimensionUniqueName="[Table1]" displayFolder="" count="0" memberValueDatatype="20" unbalanced="0"/>
    <cacheHierarchy uniqueName="[Table1].[Revenue]" caption="Revenue" attribute="1" defaultMemberUniqueName="[Table1].[Revenue].[All]" allUniqueName="[Table1].[Revenue].[All]" dimensionUniqueName="[Table1]" displayFolder="" count="0" memberValueDatatype="20" unbalanced="0"/>
    <cacheHierarchy uniqueName="[Table1].[Profit]" caption="Profit" attribute="1" defaultMemberUniqueName="[Table1].[Profit].[All]" allUniqueName="[Table1].[Profit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Price]" caption="Sum of Price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tegory]" caption="Count of Category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16C70-70AF-4740-AE1D-D680AF7754B8}" name="PivotTable4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>
  <location ref="A3:B14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arge_sale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C876B-E306-4481-A2E4-77AF6AA8002B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1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arge_sale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992BF-4A6B-4FF0-9F02-7D3658778942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10">
        <item x="9"/>
        <item x="8"/>
        <item x="7"/>
        <item x="6"/>
        <item x="5"/>
        <item x="4"/>
        <item x="3"/>
        <item x="2"/>
        <item x="1"/>
        <item x="0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0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arge_sale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B387E-8433-4578-916C-D195643617C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arge_sale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A7190-0EC6-4EF1-BF0C-DEF3C578CBB7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Revenue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arge_sale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013B1-FAE9-423F-9ED1-1020D8A60389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arge_sale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7B824-26B9-489D-BFC1-F439F6FB6BA7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arge_sale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C9C79-82F3-43A3-B698-D0170B3CFA73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Profit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arge_sale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31AB6-2ABB-4551-99A8-9997F7F3C52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3">
        <item x="1"/>
        <item x="0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arge_sale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3064B8-AC2A-4562-A3DC-691FB9393D74}" name="PivotTable10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arge_sales_dataset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6BB7E8-93C7-425E-8172-DE05AF05265E}" name="Table1" displayName="Table1" ref="A1:J201" totalsRowShown="0">
  <sortState xmlns:xlrd2="http://schemas.microsoft.com/office/spreadsheetml/2017/richdata2" ref="A2:I201">
    <sortCondition ref="C2:C201"/>
  </sortState>
  <tableColumns count="10">
    <tableColumn id="1" xr3:uid="{01E41C5B-6F91-4EDC-9E5D-13B177639ED0}" name="Order_ID"/>
    <tableColumn id="9" xr3:uid="{D7347C5F-3A2A-4E47-93B5-4000A654C3A9}" name="Month " dataDxfId="1">
      <calculatedColumnFormula>TEXT(Table1[[#This Row],[Date]], "mmm")</calculatedColumnFormula>
    </tableColumn>
    <tableColumn id="2" xr3:uid="{111D7D24-3666-433A-88F0-20BFB3CD7BCB}" name="Date"/>
    <tableColumn id="3" xr3:uid="{B398CDE2-FA37-40E4-ABFD-4F7B8A2E786D}" name="Region"/>
    <tableColumn id="4" xr3:uid="{2B5968EC-A853-42D2-90D9-A4A1BE4D4A13}" name="Product"/>
    <tableColumn id="5" xr3:uid="{E26ABD9B-C246-4945-BF4E-43A1A216DB1F}" name="Category"/>
    <tableColumn id="6" xr3:uid="{B889912A-3768-4002-8FDC-582D3F2099A4}" name="Quantity"/>
    <tableColumn id="7" xr3:uid="{8D5B21D6-E400-4312-BBD3-C4DC7E9E3EE6}" name="Price"/>
    <tableColumn id="8" xr3:uid="{F4BF244D-144B-4B3A-99E9-8C2178F5660D}" name="Revenue"/>
    <tableColumn id="12" xr3:uid="{53BD80CF-7E62-403E-911A-D906EF6B2209}" name="Profit " dataDxfId="0">
      <calculatedColumnFormula>Table1[[#This Row],[Revenue]]*12</calculatedColumnFormula>
    </tableColumn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A62DBE-BA1D-429B-B28F-C5FA7A49D0AE}" name="Table2" displayName="Table2" ref="L1:O2" totalsRowShown="0">
  <tableColumns count="4">
    <tableColumn id="1" xr3:uid="{FDA4BDF5-E110-4937-8CDF-4A394358FDE3}" name="Total Sales ">
      <calculatedColumnFormula>SUM(Table1[Revenue])</calculatedColumnFormula>
    </tableColumn>
    <tableColumn id="2" xr3:uid="{3D3A9803-4BF5-4820-8F6D-832E3B51269B}" name="Total Quntity ">
      <calculatedColumnFormula>SUM(Table1[Quantity])</calculatedColumnFormula>
    </tableColumn>
    <tableColumn id="3" xr3:uid="{FAAC31AB-5674-45F0-B21C-53BDE77AF772}" name="Average Price ">
      <calculatedColumnFormula>AVERAGE(Table1[Price])</calculatedColumnFormula>
    </tableColumn>
    <tableColumn id="4" xr3:uid="{C2D48AE3-8991-4DAD-93B4-302DB12ED49D}" name="Total profit ">
      <calculatedColumnFormula>SUM(Table1[[Profit ]])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87D6-798B-4259-A96A-5D9407304BAE}">
  <dimension ref="A3:B14"/>
  <sheetViews>
    <sheetView workbookViewId="0">
      <selection activeCell="N9" sqref="N9"/>
    </sheetView>
  </sheetViews>
  <sheetFormatPr defaultRowHeight="14.5" x14ac:dyDescent="0.35"/>
  <cols>
    <col min="1" max="1" width="12.36328125" bestFit="1" customWidth="1"/>
    <col min="2" max="2" width="14.54296875" bestFit="1" customWidth="1"/>
    <col min="3" max="3" width="14.36328125" bestFit="1" customWidth="1"/>
  </cols>
  <sheetData>
    <row r="3" spans="1:2" x14ac:dyDescent="0.35">
      <c r="A3" s="1" t="s">
        <v>106</v>
      </c>
      <c r="B3" t="s">
        <v>109</v>
      </c>
    </row>
    <row r="4" spans="1:2" x14ac:dyDescent="0.35">
      <c r="A4" s="2" t="s">
        <v>10</v>
      </c>
      <c r="B4" s="3">
        <v>140</v>
      </c>
    </row>
    <row r="5" spans="1:2" x14ac:dyDescent="0.35">
      <c r="A5" s="2" t="s">
        <v>18</v>
      </c>
      <c r="B5" s="3">
        <v>93</v>
      </c>
    </row>
    <row r="6" spans="1:2" x14ac:dyDescent="0.35">
      <c r="A6" s="2" t="s">
        <v>32</v>
      </c>
      <c r="B6" s="3">
        <v>121</v>
      </c>
    </row>
    <row r="7" spans="1:2" x14ac:dyDescent="0.35">
      <c r="A7" s="2" t="s">
        <v>20</v>
      </c>
      <c r="B7" s="3">
        <v>108</v>
      </c>
    </row>
    <row r="8" spans="1:2" x14ac:dyDescent="0.35">
      <c r="A8" s="2" t="s">
        <v>14</v>
      </c>
      <c r="B8" s="3">
        <v>122</v>
      </c>
    </row>
    <row r="9" spans="1:2" x14ac:dyDescent="0.35">
      <c r="A9" s="2" t="s">
        <v>41</v>
      </c>
      <c r="B9" s="3">
        <v>61</v>
      </c>
    </row>
    <row r="10" spans="1:2" x14ac:dyDescent="0.35">
      <c r="A10" s="2" t="s">
        <v>23</v>
      </c>
      <c r="B10" s="3">
        <v>120</v>
      </c>
    </row>
    <row r="11" spans="1:2" x14ac:dyDescent="0.35">
      <c r="A11" s="2" t="s">
        <v>27</v>
      </c>
      <c r="B11" s="3">
        <v>121</v>
      </c>
    </row>
    <row r="12" spans="1:2" x14ac:dyDescent="0.35">
      <c r="A12" s="2" t="s">
        <v>25</v>
      </c>
      <c r="B12" s="3">
        <v>131</v>
      </c>
    </row>
    <row r="13" spans="1:2" x14ac:dyDescent="0.35">
      <c r="A13" s="2" t="s">
        <v>45</v>
      </c>
      <c r="B13" s="3">
        <v>89</v>
      </c>
    </row>
    <row r="14" spans="1:2" x14ac:dyDescent="0.35">
      <c r="A14" s="2" t="s">
        <v>107</v>
      </c>
      <c r="B14" s="3">
        <v>1106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B521-D492-4B92-997B-5A7D42EC351C}">
  <dimension ref="A3:D9"/>
  <sheetViews>
    <sheetView workbookViewId="0">
      <selection activeCell="D14" sqref="D14"/>
    </sheetView>
  </sheetViews>
  <sheetFormatPr defaultRowHeight="14.5" x14ac:dyDescent="0.35"/>
  <cols>
    <col min="1" max="1" width="14.36328125" bestFit="1" customWidth="1"/>
    <col min="2" max="2" width="15.26953125" bestFit="1" customWidth="1"/>
    <col min="3" max="3" width="8.6328125" bestFit="1" customWidth="1"/>
    <col min="4" max="4" width="10.7265625" bestFit="1" customWidth="1"/>
  </cols>
  <sheetData>
    <row r="3" spans="1:4" x14ac:dyDescent="0.35">
      <c r="A3" s="1" t="s">
        <v>108</v>
      </c>
      <c r="B3" s="1" t="s">
        <v>110</v>
      </c>
    </row>
    <row r="4" spans="1:4" x14ac:dyDescent="0.35">
      <c r="A4" s="1" t="s">
        <v>106</v>
      </c>
      <c r="B4" t="s">
        <v>15</v>
      </c>
      <c r="C4" t="s">
        <v>11</v>
      </c>
      <c r="D4" t="s">
        <v>107</v>
      </c>
    </row>
    <row r="5" spans="1:4" x14ac:dyDescent="0.35">
      <c r="A5" s="2" t="s">
        <v>17</v>
      </c>
      <c r="B5" s="3">
        <v>2763900</v>
      </c>
      <c r="C5" s="3">
        <v>2463000</v>
      </c>
      <c r="D5" s="3">
        <v>5226900</v>
      </c>
    </row>
    <row r="6" spans="1:4" x14ac:dyDescent="0.35">
      <c r="A6" s="2" t="s">
        <v>31</v>
      </c>
      <c r="B6" s="3">
        <v>1870700</v>
      </c>
      <c r="C6" s="3">
        <v>1573000</v>
      </c>
      <c r="D6" s="3">
        <v>3443700</v>
      </c>
    </row>
    <row r="7" spans="1:4" x14ac:dyDescent="0.35">
      <c r="A7" s="2" t="s">
        <v>9</v>
      </c>
      <c r="B7" s="3">
        <v>1573100</v>
      </c>
      <c r="C7" s="3">
        <v>2103000</v>
      </c>
      <c r="D7" s="3">
        <v>3676100</v>
      </c>
    </row>
    <row r="8" spans="1:4" x14ac:dyDescent="0.35">
      <c r="A8" s="2" t="s">
        <v>13</v>
      </c>
      <c r="B8" s="3">
        <v>2806600</v>
      </c>
      <c r="C8" s="3">
        <v>2100000</v>
      </c>
      <c r="D8" s="3">
        <v>4906600</v>
      </c>
    </row>
    <row r="9" spans="1:4" x14ac:dyDescent="0.35">
      <c r="A9" s="2" t="s">
        <v>107</v>
      </c>
      <c r="B9" s="3">
        <v>9014300</v>
      </c>
      <c r="C9" s="3">
        <v>8239000</v>
      </c>
      <c r="D9" s="3">
        <v>17253300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70FE-7041-437E-8DE2-38CD9DCBA525}">
  <dimension ref="A3:B14"/>
  <sheetViews>
    <sheetView workbookViewId="0">
      <selection activeCell="E7" sqref="E7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1" t="s">
        <v>106</v>
      </c>
      <c r="B3" t="s">
        <v>108</v>
      </c>
    </row>
    <row r="4" spans="1:2" x14ac:dyDescent="0.35">
      <c r="A4" s="2" t="s">
        <v>45</v>
      </c>
      <c r="B4" s="3">
        <v>623000</v>
      </c>
    </row>
    <row r="5" spans="1:2" x14ac:dyDescent="0.35">
      <c r="A5" s="2" t="s">
        <v>25</v>
      </c>
      <c r="B5" s="3">
        <v>3930000</v>
      </c>
    </row>
    <row r="6" spans="1:2" x14ac:dyDescent="0.35">
      <c r="A6" s="2" t="s">
        <v>27</v>
      </c>
      <c r="B6" s="3">
        <v>96800</v>
      </c>
    </row>
    <row r="7" spans="1:2" x14ac:dyDescent="0.35">
      <c r="A7" s="2" t="s">
        <v>23</v>
      </c>
      <c r="B7" s="3">
        <v>1200000</v>
      </c>
    </row>
    <row r="8" spans="1:2" x14ac:dyDescent="0.35">
      <c r="A8" s="2" t="s">
        <v>41</v>
      </c>
      <c r="B8" s="3">
        <v>1220000</v>
      </c>
    </row>
    <row r="9" spans="1:2" x14ac:dyDescent="0.35">
      <c r="A9" s="2" t="s">
        <v>14</v>
      </c>
      <c r="B9" s="3">
        <v>6100000</v>
      </c>
    </row>
    <row r="10" spans="1:2" x14ac:dyDescent="0.35">
      <c r="A10" s="2" t="s">
        <v>20</v>
      </c>
      <c r="B10" s="3">
        <v>216000</v>
      </c>
    </row>
    <row r="11" spans="1:2" x14ac:dyDescent="0.35">
      <c r="A11" s="2" t="s">
        <v>32</v>
      </c>
      <c r="B11" s="3">
        <v>181500</v>
      </c>
    </row>
    <row r="12" spans="1:2" x14ac:dyDescent="0.35">
      <c r="A12" s="2" t="s">
        <v>18</v>
      </c>
      <c r="B12" s="3">
        <v>186000</v>
      </c>
    </row>
    <row r="13" spans="1:2" x14ac:dyDescent="0.35">
      <c r="A13" s="2" t="s">
        <v>10</v>
      </c>
      <c r="B13" s="3">
        <v>3500000</v>
      </c>
    </row>
    <row r="14" spans="1:2" x14ac:dyDescent="0.35">
      <c r="A14" s="2" t="s">
        <v>107</v>
      </c>
      <c r="B14" s="3">
        <v>17253300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1D97-0568-4014-88F3-8D1EE20EEE19}">
  <dimension ref="A3:B7"/>
  <sheetViews>
    <sheetView workbookViewId="0">
      <selection activeCell="F19" sqref="F19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1" t="s">
        <v>106</v>
      </c>
      <c r="B3" t="s">
        <v>108</v>
      </c>
    </row>
    <row r="4" spans="1:2" x14ac:dyDescent="0.35">
      <c r="A4" s="2" t="s">
        <v>113</v>
      </c>
      <c r="B4" s="3">
        <v>6512600</v>
      </c>
    </row>
    <row r="5" spans="1:2" x14ac:dyDescent="0.35">
      <c r="A5" s="2" t="s">
        <v>112</v>
      </c>
      <c r="B5" s="3">
        <v>7276900</v>
      </c>
    </row>
    <row r="6" spans="1:2" x14ac:dyDescent="0.35">
      <c r="A6" s="2" t="s">
        <v>114</v>
      </c>
      <c r="B6" s="3">
        <v>3463800</v>
      </c>
    </row>
    <row r="7" spans="1:2" x14ac:dyDescent="0.35">
      <c r="A7" s="2" t="s">
        <v>107</v>
      </c>
      <c r="B7" s="3">
        <v>17253300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5A72-DA37-4B78-B2DE-DE98F4D2B59A}">
  <dimension ref="A3:B6"/>
  <sheetViews>
    <sheetView workbookViewId="0">
      <selection activeCell="K12" sqref="K12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1" t="s">
        <v>106</v>
      </c>
      <c r="B3" t="s">
        <v>108</v>
      </c>
    </row>
    <row r="4" spans="1:2" x14ac:dyDescent="0.35">
      <c r="A4" s="2" t="s">
        <v>15</v>
      </c>
      <c r="B4" s="3">
        <v>9014300</v>
      </c>
    </row>
    <row r="5" spans="1:2" x14ac:dyDescent="0.35">
      <c r="A5" s="2" t="s">
        <v>11</v>
      </c>
      <c r="B5" s="3">
        <v>8239000</v>
      </c>
    </row>
    <row r="6" spans="1:2" x14ac:dyDescent="0.35">
      <c r="A6" s="2" t="s">
        <v>107</v>
      </c>
      <c r="B6" s="3">
        <v>17253300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77C4-36E7-45AD-B72D-9E908EFB7E14}">
  <dimension ref="A3:B8"/>
  <sheetViews>
    <sheetView workbookViewId="0">
      <selection activeCell="L12" sqref="L12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1" t="s">
        <v>106</v>
      </c>
      <c r="B3" t="s">
        <v>108</v>
      </c>
    </row>
    <row r="4" spans="1:2" x14ac:dyDescent="0.35">
      <c r="A4" s="2" t="s">
        <v>17</v>
      </c>
      <c r="B4" s="3">
        <v>5226900</v>
      </c>
    </row>
    <row r="5" spans="1:2" x14ac:dyDescent="0.35">
      <c r="A5" s="2" t="s">
        <v>31</v>
      </c>
      <c r="B5" s="3">
        <v>3443700</v>
      </c>
    </row>
    <row r="6" spans="1:2" x14ac:dyDescent="0.35">
      <c r="A6" s="2" t="s">
        <v>9</v>
      </c>
      <c r="B6" s="3">
        <v>3676100</v>
      </c>
    </row>
    <row r="7" spans="1:2" x14ac:dyDescent="0.35">
      <c r="A7" s="2" t="s">
        <v>13</v>
      </c>
      <c r="B7" s="3">
        <v>4906600</v>
      </c>
    </row>
    <row r="8" spans="1:2" x14ac:dyDescent="0.35">
      <c r="A8" s="2" t="s">
        <v>107</v>
      </c>
      <c r="B8" s="3">
        <v>17253300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9AD5-D20D-4EFA-B168-98C9F974237A}">
  <dimension ref="A3:B8"/>
  <sheetViews>
    <sheetView workbookViewId="0">
      <selection activeCell="K7" sqref="K7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1" t="s">
        <v>106</v>
      </c>
      <c r="B3" t="s">
        <v>117</v>
      </c>
    </row>
    <row r="4" spans="1:2" x14ac:dyDescent="0.35">
      <c r="A4" s="2" t="s">
        <v>17</v>
      </c>
      <c r="B4" s="3">
        <v>62722800</v>
      </c>
    </row>
    <row r="5" spans="1:2" x14ac:dyDescent="0.35">
      <c r="A5" s="2" t="s">
        <v>31</v>
      </c>
      <c r="B5" s="3">
        <v>41324400</v>
      </c>
    </row>
    <row r="6" spans="1:2" x14ac:dyDescent="0.35">
      <c r="A6" s="2" t="s">
        <v>9</v>
      </c>
      <c r="B6" s="3">
        <v>44113200</v>
      </c>
    </row>
    <row r="7" spans="1:2" x14ac:dyDescent="0.35">
      <c r="A7" s="2" t="s">
        <v>13</v>
      </c>
      <c r="B7" s="3">
        <v>58879200</v>
      </c>
    </row>
    <row r="8" spans="1:2" x14ac:dyDescent="0.35">
      <c r="A8" s="2" t="s">
        <v>107</v>
      </c>
      <c r="B8" s="3">
        <v>207039600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F795-9C12-482E-8309-A88578AF3016}">
  <dimension ref="A3:B6"/>
  <sheetViews>
    <sheetView workbookViewId="0">
      <selection activeCell="N10" sqref="N10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1" t="s">
        <v>106</v>
      </c>
      <c r="B3" t="s">
        <v>117</v>
      </c>
    </row>
    <row r="4" spans="1:2" x14ac:dyDescent="0.35">
      <c r="A4" s="2" t="s">
        <v>15</v>
      </c>
      <c r="B4" s="3">
        <v>108171600</v>
      </c>
    </row>
    <row r="5" spans="1:2" x14ac:dyDescent="0.35">
      <c r="A5" s="2" t="s">
        <v>11</v>
      </c>
      <c r="B5" s="3">
        <v>98868000</v>
      </c>
    </row>
    <row r="6" spans="1:2" x14ac:dyDescent="0.35">
      <c r="A6" s="2" t="s">
        <v>107</v>
      </c>
      <c r="B6" s="3">
        <v>207039600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0E34-7033-4438-8DC9-7DC4767FD04D}">
  <dimension ref="A3:B7"/>
  <sheetViews>
    <sheetView tabSelected="1" workbookViewId="0">
      <selection activeCell="L16" sqref="L16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1" t="s">
        <v>106</v>
      </c>
      <c r="B3" t="s">
        <v>117</v>
      </c>
    </row>
    <row r="4" spans="1:2" x14ac:dyDescent="0.35">
      <c r="A4" s="2" t="s">
        <v>112</v>
      </c>
      <c r="B4" s="3">
        <v>87322800</v>
      </c>
    </row>
    <row r="5" spans="1:2" x14ac:dyDescent="0.35">
      <c r="A5" s="2" t="s">
        <v>113</v>
      </c>
      <c r="B5" s="3">
        <v>78151200</v>
      </c>
    </row>
    <row r="6" spans="1:2" x14ac:dyDescent="0.35">
      <c r="A6" s="2" t="s">
        <v>114</v>
      </c>
      <c r="B6" s="3">
        <v>41565600</v>
      </c>
    </row>
    <row r="7" spans="1:2" x14ac:dyDescent="0.35">
      <c r="A7" s="2" t="s">
        <v>107</v>
      </c>
      <c r="B7" s="3">
        <v>207039600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ED58-32AE-4F63-9D40-658F63960AA7}">
  <dimension ref="A3:B14"/>
  <sheetViews>
    <sheetView workbookViewId="0">
      <selection activeCell="A6" sqref="A6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1" t="s">
        <v>106</v>
      </c>
      <c r="B3" t="s">
        <v>117</v>
      </c>
    </row>
    <row r="4" spans="1:2" x14ac:dyDescent="0.35">
      <c r="A4" s="2" t="s">
        <v>10</v>
      </c>
      <c r="B4" s="3">
        <v>42000000</v>
      </c>
    </row>
    <row r="5" spans="1:2" x14ac:dyDescent="0.35">
      <c r="A5" s="2" t="s">
        <v>18</v>
      </c>
      <c r="B5" s="3">
        <v>2232000</v>
      </c>
    </row>
    <row r="6" spans="1:2" x14ac:dyDescent="0.35">
      <c r="A6" s="2" t="s">
        <v>32</v>
      </c>
      <c r="B6" s="3">
        <v>2178000</v>
      </c>
    </row>
    <row r="7" spans="1:2" x14ac:dyDescent="0.35">
      <c r="A7" s="2" t="s">
        <v>20</v>
      </c>
      <c r="B7" s="3">
        <v>2592000</v>
      </c>
    </row>
    <row r="8" spans="1:2" x14ac:dyDescent="0.35">
      <c r="A8" s="2" t="s">
        <v>14</v>
      </c>
      <c r="B8" s="3">
        <v>73200000</v>
      </c>
    </row>
    <row r="9" spans="1:2" x14ac:dyDescent="0.35">
      <c r="A9" s="2" t="s">
        <v>41</v>
      </c>
      <c r="B9" s="3">
        <v>14640000</v>
      </c>
    </row>
    <row r="10" spans="1:2" x14ac:dyDescent="0.35">
      <c r="A10" s="2" t="s">
        <v>23</v>
      </c>
      <c r="B10" s="3">
        <v>14400000</v>
      </c>
    </row>
    <row r="11" spans="1:2" x14ac:dyDescent="0.35">
      <c r="A11" s="2" t="s">
        <v>27</v>
      </c>
      <c r="B11" s="3">
        <v>1161600</v>
      </c>
    </row>
    <row r="12" spans="1:2" x14ac:dyDescent="0.35">
      <c r="A12" s="2" t="s">
        <v>25</v>
      </c>
      <c r="B12" s="3">
        <v>47160000</v>
      </c>
    </row>
    <row r="13" spans="1:2" x14ac:dyDescent="0.35">
      <c r="A13" s="2" t="s">
        <v>45</v>
      </c>
      <c r="B13" s="3">
        <v>7476000</v>
      </c>
    </row>
    <row r="14" spans="1:2" x14ac:dyDescent="0.35">
      <c r="A14" s="2" t="s">
        <v>107</v>
      </c>
      <c r="B14" s="3">
        <v>207039600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3"/>
  <sheetViews>
    <sheetView zoomScale="70" zoomScaleNormal="70" workbookViewId="0">
      <selection activeCell="M15" sqref="M15"/>
    </sheetView>
  </sheetViews>
  <sheetFormatPr defaultRowHeight="14.5" x14ac:dyDescent="0.35"/>
  <cols>
    <col min="1" max="2" width="10.54296875" customWidth="1"/>
    <col min="3" max="3" width="10.54296875" style="4" customWidth="1"/>
    <col min="4" max="4" width="10.08984375" bestFit="1" customWidth="1"/>
    <col min="6" max="6" width="9.453125" customWidth="1"/>
    <col min="7" max="7" width="10.26953125" customWidth="1"/>
    <col min="8" max="8" width="10.1796875" customWidth="1"/>
    <col min="12" max="12" width="10.453125" bestFit="1" customWidth="1"/>
    <col min="13" max="13" width="12.08984375" customWidth="1"/>
    <col min="14" max="14" width="14.36328125" customWidth="1"/>
    <col min="15" max="15" width="14.54296875" customWidth="1"/>
  </cols>
  <sheetData>
    <row r="1" spans="1:15" x14ac:dyDescent="0.35">
      <c r="A1" t="s">
        <v>0</v>
      </c>
      <c r="B1" t="s">
        <v>111</v>
      </c>
      <c r="C1" s="4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115</v>
      </c>
      <c r="L1" t="s">
        <v>103</v>
      </c>
      <c r="M1" t="s">
        <v>104</v>
      </c>
      <c r="N1" t="s">
        <v>105</v>
      </c>
      <c r="O1" t="s">
        <v>116</v>
      </c>
    </row>
    <row r="2" spans="1:15" x14ac:dyDescent="0.35">
      <c r="A2">
        <v>1194</v>
      </c>
      <c r="B2" t="str">
        <f>TEXT(Table1[[#This Row],[Date]], "mmm")</f>
        <v>Jan</v>
      </c>
      <c r="C2" t="s">
        <v>42</v>
      </c>
      <c r="D2" t="s">
        <v>17</v>
      </c>
      <c r="E2" t="s">
        <v>27</v>
      </c>
      <c r="F2" t="s">
        <v>15</v>
      </c>
      <c r="G2">
        <v>7</v>
      </c>
      <c r="H2">
        <v>800</v>
      </c>
      <c r="I2">
        <v>5600</v>
      </c>
      <c r="J2">
        <f>Table1[[#This Row],[Revenue]]*12</f>
        <v>67200</v>
      </c>
      <c r="L2">
        <f>SUM(Table1[Revenue])</f>
        <v>17253300</v>
      </c>
      <c r="M2">
        <f>SUM(Table1[Quantity])</f>
        <v>1106</v>
      </c>
      <c r="N2">
        <f>AVERAGE(Table1[Price])</f>
        <v>16324.5</v>
      </c>
      <c r="O2">
        <f>SUM(Table1[[Profit ]])</f>
        <v>207039600</v>
      </c>
    </row>
    <row r="3" spans="1:15" x14ac:dyDescent="0.35">
      <c r="A3">
        <v>1061</v>
      </c>
      <c r="B3" t="str">
        <f>TEXT(Table1[[#This Row],[Date]], "mmm")</f>
        <v>Jan</v>
      </c>
      <c r="C3" t="s">
        <v>42</v>
      </c>
      <c r="D3" t="s">
        <v>31</v>
      </c>
      <c r="E3" t="s">
        <v>32</v>
      </c>
      <c r="F3" t="s">
        <v>15</v>
      </c>
      <c r="G3">
        <v>6</v>
      </c>
      <c r="H3">
        <v>1500</v>
      </c>
      <c r="I3">
        <v>9000</v>
      </c>
      <c r="J3">
        <f>Table1[[#This Row],[Revenue]]*12</f>
        <v>108000</v>
      </c>
    </row>
    <row r="4" spans="1:15" x14ac:dyDescent="0.35">
      <c r="A4">
        <v>1087</v>
      </c>
      <c r="B4" t="str">
        <f>TEXT(Table1[[#This Row],[Date]], "mmm")</f>
        <v>Jan</v>
      </c>
      <c r="C4" t="s">
        <v>42</v>
      </c>
      <c r="D4" t="s">
        <v>17</v>
      </c>
      <c r="E4" t="s">
        <v>25</v>
      </c>
      <c r="F4" t="s">
        <v>11</v>
      </c>
      <c r="G4">
        <v>8</v>
      </c>
      <c r="H4">
        <v>30000</v>
      </c>
      <c r="I4">
        <v>240000</v>
      </c>
      <c r="J4">
        <f>Table1[[#This Row],[Revenue]]*12</f>
        <v>2880000</v>
      </c>
      <c r="L4" s="4"/>
    </row>
    <row r="5" spans="1:15" x14ac:dyDescent="0.35">
      <c r="A5">
        <v>1083</v>
      </c>
      <c r="B5" t="str">
        <f>TEXT(Table1[[#This Row],[Date]], "mmm")</f>
        <v>Jan</v>
      </c>
      <c r="C5" t="s">
        <v>42</v>
      </c>
      <c r="D5" t="s">
        <v>9</v>
      </c>
      <c r="E5" t="s">
        <v>10</v>
      </c>
      <c r="F5" t="s">
        <v>11</v>
      </c>
      <c r="G5">
        <v>8</v>
      </c>
      <c r="H5">
        <v>25000</v>
      </c>
      <c r="I5">
        <v>200000</v>
      </c>
      <c r="J5">
        <f>Table1[[#This Row],[Revenue]]*12</f>
        <v>2400000</v>
      </c>
      <c r="L5" s="4"/>
    </row>
    <row r="6" spans="1:15" x14ac:dyDescent="0.35">
      <c r="A6">
        <v>1027</v>
      </c>
      <c r="B6" t="str">
        <f>TEXT(Table1[[#This Row],[Date]], "mmm")</f>
        <v>Jan</v>
      </c>
      <c r="C6" t="s">
        <v>42</v>
      </c>
      <c r="D6" t="s">
        <v>17</v>
      </c>
      <c r="E6" t="s">
        <v>25</v>
      </c>
      <c r="F6" t="s">
        <v>11</v>
      </c>
      <c r="G6">
        <v>6</v>
      </c>
      <c r="H6">
        <v>30000</v>
      </c>
      <c r="I6">
        <v>180000</v>
      </c>
      <c r="J6">
        <f>Table1[[#This Row],[Revenue]]*12</f>
        <v>2160000</v>
      </c>
      <c r="L6" s="4"/>
    </row>
    <row r="7" spans="1:15" x14ac:dyDescent="0.35">
      <c r="A7">
        <v>1042</v>
      </c>
      <c r="B7" t="str">
        <f>TEXT(Table1[[#This Row],[Date]], "mmm")</f>
        <v>Jan</v>
      </c>
      <c r="C7" t="s">
        <v>54</v>
      </c>
      <c r="D7" t="s">
        <v>9</v>
      </c>
      <c r="E7" t="s">
        <v>25</v>
      </c>
      <c r="F7" t="s">
        <v>11</v>
      </c>
      <c r="G7">
        <v>7</v>
      </c>
      <c r="H7">
        <v>30000</v>
      </c>
      <c r="I7">
        <v>210000</v>
      </c>
      <c r="J7">
        <f>Table1[[#This Row],[Revenue]]*12</f>
        <v>2520000</v>
      </c>
      <c r="L7" s="4"/>
    </row>
    <row r="8" spans="1:15" x14ac:dyDescent="0.35">
      <c r="A8">
        <v>1182</v>
      </c>
      <c r="B8" t="str">
        <f>TEXT(Table1[[#This Row],[Date]], "mmm")</f>
        <v>Jan</v>
      </c>
      <c r="C8" t="s">
        <v>54</v>
      </c>
      <c r="D8" t="s">
        <v>13</v>
      </c>
      <c r="E8" t="s">
        <v>41</v>
      </c>
      <c r="F8" t="s">
        <v>15</v>
      </c>
      <c r="G8">
        <v>10</v>
      </c>
      <c r="H8">
        <v>20000</v>
      </c>
      <c r="I8">
        <v>200000</v>
      </c>
      <c r="J8">
        <f>Table1[[#This Row],[Revenue]]*12</f>
        <v>2400000</v>
      </c>
      <c r="L8" s="4"/>
    </row>
    <row r="9" spans="1:15" x14ac:dyDescent="0.35">
      <c r="A9">
        <v>1094</v>
      </c>
      <c r="B9" t="str">
        <f>TEXT(Table1[[#This Row],[Date]], "mmm")</f>
        <v>Jan</v>
      </c>
      <c r="C9" t="s">
        <v>65</v>
      </c>
      <c r="D9" t="s">
        <v>9</v>
      </c>
      <c r="E9" t="s">
        <v>18</v>
      </c>
      <c r="F9" t="s">
        <v>11</v>
      </c>
      <c r="G9">
        <v>1</v>
      </c>
      <c r="H9">
        <v>2000</v>
      </c>
      <c r="I9">
        <v>2000</v>
      </c>
      <c r="J9">
        <f>Table1[[#This Row],[Revenue]]*12</f>
        <v>24000</v>
      </c>
      <c r="L9" s="4"/>
    </row>
    <row r="10" spans="1:15" x14ac:dyDescent="0.35">
      <c r="A10">
        <v>1067</v>
      </c>
      <c r="B10" t="str">
        <f>TEXT(Table1[[#This Row],[Date]], "mmm")</f>
        <v>Jan</v>
      </c>
      <c r="C10" t="s">
        <v>65</v>
      </c>
      <c r="D10" t="s">
        <v>17</v>
      </c>
      <c r="E10" t="s">
        <v>20</v>
      </c>
      <c r="F10" t="s">
        <v>15</v>
      </c>
      <c r="G10">
        <v>4</v>
      </c>
      <c r="H10">
        <v>2000</v>
      </c>
      <c r="I10">
        <v>8000</v>
      </c>
      <c r="J10">
        <f>Table1[[#This Row],[Revenue]]*12</f>
        <v>96000</v>
      </c>
      <c r="L10" s="4"/>
    </row>
    <row r="11" spans="1:15" x14ac:dyDescent="0.35">
      <c r="A11">
        <v>1137</v>
      </c>
      <c r="B11" t="str">
        <f>TEXT(Table1[[#This Row],[Date]], "mmm")</f>
        <v>Jan</v>
      </c>
      <c r="C11" t="s">
        <v>93</v>
      </c>
      <c r="D11" t="s">
        <v>9</v>
      </c>
      <c r="E11" t="s">
        <v>20</v>
      </c>
      <c r="F11" t="s">
        <v>15</v>
      </c>
      <c r="G11">
        <v>10</v>
      </c>
      <c r="H11">
        <v>2000</v>
      </c>
      <c r="I11">
        <v>20000</v>
      </c>
      <c r="J11">
        <f>Table1[[#This Row],[Revenue]]*12</f>
        <v>240000</v>
      </c>
      <c r="L11" s="4"/>
    </row>
    <row r="12" spans="1:15" x14ac:dyDescent="0.35">
      <c r="A12">
        <v>1078</v>
      </c>
      <c r="B12" t="str">
        <f>TEXT(Table1[[#This Row],[Date]], "mmm")</f>
        <v>Jan</v>
      </c>
      <c r="C12" t="s">
        <v>70</v>
      </c>
      <c r="D12" t="s">
        <v>17</v>
      </c>
      <c r="E12" t="s">
        <v>14</v>
      </c>
      <c r="F12" t="s">
        <v>15</v>
      </c>
      <c r="G12">
        <v>2</v>
      </c>
      <c r="H12">
        <v>50000</v>
      </c>
      <c r="I12">
        <v>100000</v>
      </c>
      <c r="J12">
        <f>Table1[[#This Row],[Revenue]]*12</f>
        <v>1200000</v>
      </c>
      <c r="L12" s="4"/>
    </row>
    <row r="13" spans="1:15" x14ac:dyDescent="0.35">
      <c r="A13">
        <v>1145</v>
      </c>
      <c r="B13" t="str">
        <f>TEXT(Table1[[#This Row],[Date]], "mmm")</f>
        <v>Jan</v>
      </c>
      <c r="C13" t="s">
        <v>70</v>
      </c>
      <c r="D13" t="s">
        <v>9</v>
      </c>
      <c r="E13" t="s">
        <v>14</v>
      </c>
      <c r="F13" t="s">
        <v>15</v>
      </c>
      <c r="G13">
        <v>5</v>
      </c>
      <c r="H13">
        <v>50000</v>
      </c>
      <c r="I13">
        <v>250000</v>
      </c>
      <c r="J13">
        <f>Table1[[#This Row],[Revenue]]*12</f>
        <v>3000000</v>
      </c>
      <c r="L13" s="4"/>
    </row>
    <row r="14" spans="1:15" x14ac:dyDescent="0.35">
      <c r="A14">
        <v>1075</v>
      </c>
      <c r="B14" t="str">
        <f>TEXT(Table1[[#This Row],[Date]], "mmm")</f>
        <v>Jan</v>
      </c>
      <c r="C14" t="s">
        <v>69</v>
      </c>
      <c r="D14" t="s">
        <v>31</v>
      </c>
      <c r="E14" t="s">
        <v>45</v>
      </c>
      <c r="F14" t="s">
        <v>11</v>
      </c>
      <c r="G14">
        <v>10</v>
      </c>
      <c r="H14">
        <v>7000</v>
      </c>
      <c r="I14">
        <v>70000</v>
      </c>
      <c r="J14">
        <f>Table1[[#This Row],[Revenue]]*12</f>
        <v>840000</v>
      </c>
      <c r="L14" s="4"/>
    </row>
    <row r="15" spans="1:15" x14ac:dyDescent="0.35">
      <c r="A15">
        <v>1090</v>
      </c>
      <c r="B15" t="str">
        <f>TEXT(Table1[[#This Row],[Date]], "mmm")</f>
        <v>Jan</v>
      </c>
      <c r="C15" t="s">
        <v>69</v>
      </c>
      <c r="D15" t="s">
        <v>13</v>
      </c>
      <c r="E15" t="s">
        <v>10</v>
      </c>
      <c r="F15" t="s">
        <v>11</v>
      </c>
      <c r="G15">
        <v>10</v>
      </c>
      <c r="H15">
        <v>25000</v>
      </c>
      <c r="I15">
        <v>250000</v>
      </c>
      <c r="J15">
        <f>Table1[[#This Row],[Revenue]]*12</f>
        <v>3000000</v>
      </c>
      <c r="L15" s="4"/>
    </row>
    <row r="16" spans="1:15" x14ac:dyDescent="0.35">
      <c r="A16">
        <v>1062</v>
      </c>
      <c r="B16" t="str">
        <f>TEXT(Table1[[#This Row],[Date]], "mmm")</f>
        <v>Jan</v>
      </c>
      <c r="C16" t="s">
        <v>62</v>
      </c>
      <c r="D16" t="s">
        <v>31</v>
      </c>
      <c r="E16" t="s">
        <v>27</v>
      </c>
      <c r="F16" t="s">
        <v>15</v>
      </c>
      <c r="G16">
        <v>10</v>
      </c>
      <c r="H16">
        <v>800</v>
      </c>
      <c r="I16">
        <v>8000</v>
      </c>
      <c r="J16">
        <f>Table1[[#This Row],[Revenue]]*12</f>
        <v>96000</v>
      </c>
      <c r="L16" s="4"/>
    </row>
    <row r="17" spans="1:12" x14ac:dyDescent="0.35">
      <c r="A17">
        <v>1114</v>
      </c>
      <c r="B17" t="str">
        <f>TEXT(Table1[[#This Row],[Date]], "mmm")</f>
        <v>Jan</v>
      </c>
      <c r="C17" t="s">
        <v>87</v>
      </c>
      <c r="D17" t="s">
        <v>9</v>
      </c>
      <c r="E17" t="s">
        <v>27</v>
      </c>
      <c r="F17" t="s">
        <v>15</v>
      </c>
      <c r="G17">
        <v>8</v>
      </c>
      <c r="H17">
        <v>800</v>
      </c>
      <c r="I17">
        <v>6400</v>
      </c>
      <c r="J17">
        <f>Table1[[#This Row],[Revenue]]*12</f>
        <v>76800</v>
      </c>
      <c r="L17" s="4"/>
    </row>
    <row r="18" spans="1:12" x14ac:dyDescent="0.35">
      <c r="A18">
        <v>1123</v>
      </c>
      <c r="B18" t="str">
        <f>TEXT(Table1[[#This Row],[Date]], "mmm")</f>
        <v>Jan</v>
      </c>
      <c r="C18" t="s">
        <v>60</v>
      </c>
      <c r="D18" t="s">
        <v>9</v>
      </c>
      <c r="E18" t="s">
        <v>18</v>
      </c>
      <c r="F18" t="s">
        <v>11</v>
      </c>
      <c r="G18">
        <v>3</v>
      </c>
      <c r="H18">
        <v>2000</v>
      </c>
      <c r="I18">
        <v>6000</v>
      </c>
      <c r="J18">
        <f>Table1[[#This Row],[Revenue]]*12</f>
        <v>72000</v>
      </c>
      <c r="L18" s="4"/>
    </row>
    <row r="19" spans="1:12" x14ac:dyDescent="0.35">
      <c r="A19">
        <v>1109</v>
      </c>
      <c r="B19" t="str">
        <f>TEXT(Table1[[#This Row],[Date]], "mmm")</f>
        <v>Jan</v>
      </c>
      <c r="C19" t="s">
        <v>60</v>
      </c>
      <c r="D19" t="s">
        <v>31</v>
      </c>
      <c r="E19" t="s">
        <v>20</v>
      </c>
      <c r="F19" t="s">
        <v>15</v>
      </c>
      <c r="G19">
        <v>10</v>
      </c>
      <c r="H19">
        <v>2000</v>
      </c>
      <c r="I19">
        <v>20000</v>
      </c>
      <c r="J19">
        <f>Table1[[#This Row],[Revenue]]*12</f>
        <v>240000</v>
      </c>
      <c r="L19" s="4"/>
    </row>
    <row r="20" spans="1:12" x14ac:dyDescent="0.35">
      <c r="A20">
        <v>1058</v>
      </c>
      <c r="B20" t="str">
        <f>TEXT(Table1[[#This Row],[Date]], "mmm")</f>
        <v>Jan</v>
      </c>
      <c r="C20" t="s">
        <v>60</v>
      </c>
      <c r="D20" t="s">
        <v>17</v>
      </c>
      <c r="E20" t="s">
        <v>45</v>
      </c>
      <c r="F20" t="s">
        <v>11</v>
      </c>
      <c r="G20">
        <v>6</v>
      </c>
      <c r="H20">
        <v>7000</v>
      </c>
      <c r="I20">
        <v>42000</v>
      </c>
      <c r="J20">
        <f>Table1[[#This Row],[Revenue]]*12</f>
        <v>504000</v>
      </c>
      <c r="L20" s="4"/>
    </row>
    <row r="21" spans="1:12" x14ac:dyDescent="0.35">
      <c r="A21">
        <v>1156</v>
      </c>
      <c r="B21" t="str">
        <f>TEXT(Table1[[#This Row],[Date]], "mmm")</f>
        <v>Jan</v>
      </c>
      <c r="C21" t="s">
        <v>60</v>
      </c>
      <c r="D21" t="s">
        <v>31</v>
      </c>
      <c r="E21" t="s">
        <v>25</v>
      </c>
      <c r="F21" t="s">
        <v>11</v>
      </c>
      <c r="G21">
        <v>2</v>
      </c>
      <c r="H21">
        <v>30000</v>
      </c>
      <c r="I21">
        <v>60000</v>
      </c>
      <c r="J21">
        <f>Table1[[#This Row],[Revenue]]*12</f>
        <v>720000</v>
      </c>
      <c r="L21" s="4"/>
    </row>
    <row r="22" spans="1:12" x14ac:dyDescent="0.35">
      <c r="A22">
        <v>1161</v>
      </c>
      <c r="B22" t="str">
        <f>TEXT(Table1[[#This Row],[Date]], "mmm")</f>
        <v>Jan</v>
      </c>
      <c r="C22" t="s">
        <v>94</v>
      </c>
      <c r="D22" t="s">
        <v>9</v>
      </c>
      <c r="E22" t="s">
        <v>25</v>
      </c>
      <c r="F22" t="s">
        <v>11</v>
      </c>
      <c r="G22">
        <v>4</v>
      </c>
      <c r="H22">
        <v>30000</v>
      </c>
      <c r="I22">
        <v>120000</v>
      </c>
      <c r="J22">
        <f>Table1[[#This Row],[Revenue]]*12</f>
        <v>1440000</v>
      </c>
      <c r="L22" s="4"/>
    </row>
    <row r="23" spans="1:12" x14ac:dyDescent="0.35">
      <c r="A23">
        <v>1140</v>
      </c>
      <c r="B23" t="str">
        <f>TEXT(Table1[[#This Row],[Date]], "mmm")</f>
        <v>Jan</v>
      </c>
      <c r="C23" t="s">
        <v>94</v>
      </c>
      <c r="D23" t="s">
        <v>9</v>
      </c>
      <c r="E23" t="s">
        <v>14</v>
      </c>
      <c r="F23" t="s">
        <v>15</v>
      </c>
      <c r="G23">
        <v>2</v>
      </c>
      <c r="H23">
        <v>50000</v>
      </c>
      <c r="I23">
        <v>100000</v>
      </c>
      <c r="J23">
        <f>Table1[[#This Row],[Revenue]]*12</f>
        <v>1200000</v>
      </c>
      <c r="L23" s="4"/>
    </row>
    <row r="24" spans="1:12" x14ac:dyDescent="0.35">
      <c r="A24">
        <v>1171</v>
      </c>
      <c r="B24" t="str">
        <f>TEXT(Table1[[#This Row],[Date]], "mmm")</f>
        <v>Jan</v>
      </c>
      <c r="C24" t="s">
        <v>94</v>
      </c>
      <c r="D24" t="s">
        <v>17</v>
      </c>
      <c r="E24" t="s">
        <v>18</v>
      </c>
      <c r="F24" t="s">
        <v>11</v>
      </c>
      <c r="G24">
        <v>3</v>
      </c>
      <c r="H24">
        <v>2000</v>
      </c>
      <c r="I24">
        <v>6000</v>
      </c>
      <c r="J24">
        <f>Table1[[#This Row],[Revenue]]*12</f>
        <v>72000</v>
      </c>
      <c r="L24" s="4"/>
    </row>
    <row r="25" spans="1:12" x14ac:dyDescent="0.35">
      <c r="A25">
        <v>1199</v>
      </c>
      <c r="B25" t="str">
        <f>TEXT(Table1[[#This Row],[Date]], "mmm")</f>
        <v>Jan</v>
      </c>
      <c r="C25" t="s">
        <v>94</v>
      </c>
      <c r="D25" t="s">
        <v>17</v>
      </c>
      <c r="E25" t="s">
        <v>20</v>
      </c>
      <c r="F25" t="s">
        <v>15</v>
      </c>
      <c r="G25">
        <v>4</v>
      </c>
      <c r="H25">
        <v>2000</v>
      </c>
      <c r="I25">
        <v>8000</v>
      </c>
      <c r="J25">
        <f>Table1[[#This Row],[Revenue]]*12</f>
        <v>96000</v>
      </c>
      <c r="L25" s="4"/>
    </row>
    <row r="26" spans="1:12" x14ac:dyDescent="0.35">
      <c r="A26">
        <v>1031</v>
      </c>
      <c r="B26" t="str">
        <f>TEXT(Table1[[#This Row],[Date]], "mmm")</f>
        <v>Jan</v>
      </c>
      <c r="C26" t="s">
        <v>29</v>
      </c>
      <c r="D26" t="s">
        <v>31</v>
      </c>
      <c r="E26" t="s">
        <v>25</v>
      </c>
      <c r="F26" t="s">
        <v>11</v>
      </c>
      <c r="G26">
        <v>9</v>
      </c>
      <c r="H26">
        <v>30000</v>
      </c>
      <c r="I26">
        <v>270000</v>
      </c>
      <c r="J26">
        <f>Table1[[#This Row],[Revenue]]*12</f>
        <v>3240000</v>
      </c>
      <c r="L26" s="4"/>
    </row>
    <row r="27" spans="1:12" x14ac:dyDescent="0.35">
      <c r="A27">
        <v>1010</v>
      </c>
      <c r="B27" t="str">
        <f>TEXT(Table1[[#This Row],[Date]], "mmm")</f>
        <v>Jan</v>
      </c>
      <c r="C27" t="s">
        <v>29</v>
      </c>
      <c r="D27" t="s">
        <v>17</v>
      </c>
      <c r="E27" t="s">
        <v>23</v>
      </c>
      <c r="F27" t="s">
        <v>15</v>
      </c>
      <c r="G27">
        <v>3</v>
      </c>
      <c r="H27">
        <v>10000</v>
      </c>
      <c r="I27">
        <v>30000</v>
      </c>
      <c r="J27">
        <f>Table1[[#This Row],[Revenue]]*12</f>
        <v>360000</v>
      </c>
      <c r="L27" s="4"/>
    </row>
    <row r="28" spans="1:12" x14ac:dyDescent="0.35">
      <c r="A28">
        <v>1160</v>
      </c>
      <c r="B28" t="str">
        <f>TEXT(Table1[[#This Row],[Date]], "mmm")</f>
        <v>Jan</v>
      </c>
      <c r="C28" t="s">
        <v>29</v>
      </c>
      <c r="D28" t="s">
        <v>17</v>
      </c>
      <c r="E28" t="s">
        <v>20</v>
      </c>
      <c r="F28" t="s">
        <v>15</v>
      </c>
      <c r="G28">
        <v>3</v>
      </c>
      <c r="H28">
        <v>2000</v>
      </c>
      <c r="I28">
        <v>6000</v>
      </c>
      <c r="J28">
        <f>Table1[[#This Row],[Revenue]]*12</f>
        <v>72000</v>
      </c>
      <c r="L28" s="4"/>
    </row>
    <row r="29" spans="1:12" x14ac:dyDescent="0.35">
      <c r="A29">
        <v>1023</v>
      </c>
      <c r="B29" t="str">
        <f>TEXT(Table1[[#This Row],[Date]], "mmm")</f>
        <v>Jan</v>
      </c>
      <c r="C29" t="s">
        <v>29</v>
      </c>
      <c r="D29" t="s">
        <v>17</v>
      </c>
      <c r="E29" t="s">
        <v>25</v>
      </c>
      <c r="F29" t="s">
        <v>11</v>
      </c>
      <c r="G29">
        <v>7</v>
      </c>
      <c r="H29">
        <v>30000</v>
      </c>
      <c r="I29">
        <v>210000</v>
      </c>
      <c r="J29">
        <f>Table1[[#This Row],[Revenue]]*12</f>
        <v>2520000</v>
      </c>
      <c r="L29" s="4"/>
    </row>
    <row r="30" spans="1:12" x14ac:dyDescent="0.35">
      <c r="A30">
        <v>1152</v>
      </c>
      <c r="B30" t="str">
        <f>TEXT(Table1[[#This Row],[Date]], "mmm")</f>
        <v>Jan</v>
      </c>
      <c r="C30" t="s">
        <v>98</v>
      </c>
      <c r="D30" t="s">
        <v>17</v>
      </c>
      <c r="E30" t="s">
        <v>14</v>
      </c>
      <c r="F30" t="s">
        <v>15</v>
      </c>
      <c r="G30">
        <v>6</v>
      </c>
      <c r="H30">
        <v>50000</v>
      </c>
      <c r="I30">
        <v>300000</v>
      </c>
      <c r="J30">
        <f>Table1[[#This Row],[Revenue]]*12</f>
        <v>3600000</v>
      </c>
      <c r="L30" s="4"/>
    </row>
    <row r="31" spans="1:12" x14ac:dyDescent="0.35">
      <c r="A31">
        <v>1107</v>
      </c>
      <c r="B31" t="str">
        <f>TEXT(Table1[[#This Row],[Date]], "mmm")</f>
        <v>Jan</v>
      </c>
      <c r="C31" t="s">
        <v>77</v>
      </c>
      <c r="D31" t="s">
        <v>31</v>
      </c>
      <c r="E31" t="s">
        <v>20</v>
      </c>
      <c r="F31" t="s">
        <v>15</v>
      </c>
      <c r="G31">
        <v>4</v>
      </c>
      <c r="H31">
        <v>2000</v>
      </c>
      <c r="I31">
        <v>8000</v>
      </c>
      <c r="J31">
        <f>Table1[[#This Row],[Revenue]]*12</f>
        <v>96000</v>
      </c>
      <c r="L31" s="4"/>
    </row>
    <row r="32" spans="1:12" x14ac:dyDescent="0.35">
      <c r="A32">
        <v>1092</v>
      </c>
      <c r="B32" t="str">
        <f>TEXT(Table1[[#This Row],[Date]], "mmm")</f>
        <v>Jan</v>
      </c>
      <c r="C32" t="s">
        <v>77</v>
      </c>
      <c r="D32" t="s">
        <v>9</v>
      </c>
      <c r="E32" t="s">
        <v>23</v>
      </c>
      <c r="F32" t="s">
        <v>15</v>
      </c>
      <c r="G32">
        <v>2</v>
      </c>
      <c r="H32">
        <v>10000</v>
      </c>
      <c r="I32">
        <v>20000</v>
      </c>
      <c r="J32">
        <f>Table1[[#This Row],[Revenue]]*12</f>
        <v>240000</v>
      </c>
      <c r="L32" s="4"/>
    </row>
    <row r="33" spans="1:12" x14ac:dyDescent="0.35">
      <c r="A33">
        <v>1131</v>
      </c>
      <c r="B33" t="str">
        <f>TEXT(Table1[[#This Row],[Date]], "mmm")</f>
        <v>Jan</v>
      </c>
      <c r="C33" t="s">
        <v>21</v>
      </c>
      <c r="D33" t="s">
        <v>13</v>
      </c>
      <c r="E33" t="s">
        <v>23</v>
      </c>
      <c r="F33" t="s">
        <v>15</v>
      </c>
      <c r="G33">
        <v>6</v>
      </c>
      <c r="H33">
        <v>10000</v>
      </c>
      <c r="I33">
        <v>60000</v>
      </c>
      <c r="J33">
        <f>Table1[[#This Row],[Revenue]]*12</f>
        <v>720000</v>
      </c>
      <c r="L33" s="4"/>
    </row>
    <row r="34" spans="1:12" x14ac:dyDescent="0.35">
      <c r="A34">
        <v>1154</v>
      </c>
      <c r="B34" t="str">
        <f>TEXT(Table1[[#This Row],[Date]], "mmm")</f>
        <v>Jan</v>
      </c>
      <c r="C34" t="s">
        <v>21</v>
      </c>
      <c r="D34" t="s">
        <v>31</v>
      </c>
      <c r="E34" t="s">
        <v>45</v>
      </c>
      <c r="F34" t="s">
        <v>11</v>
      </c>
      <c r="G34">
        <v>4</v>
      </c>
      <c r="H34">
        <v>7000</v>
      </c>
      <c r="I34">
        <v>28000</v>
      </c>
      <c r="J34">
        <f>Table1[[#This Row],[Revenue]]*12</f>
        <v>336000</v>
      </c>
      <c r="L34" s="4"/>
    </row>
    <row r="35" spans="1:12" x14ac:dyDescent="0.35">
      <c r="A35">
        <v>1005</v>
      </c>
      <c r="B35" t="str">
        <f>TEXT(Table1[[#This Row],[Date]], "mmm")</f>
        <v>Jan</v>
      </c>
      <c r="C35" t="s">
        <v>21</v>
      </c>
      <c r="D35" t="s">
        <v>17</v>
      </c>
      <c r="E35" t="s">
        <v>18</v>
      </c>
      <c r="F35" t="s">
        <v>11</v>
      </c>
      <c r="G35">
        <v>7</v>
      </c>
      <c r="H35">
        <v>2000</v>
      </c>
      <c r="I35">
        <v>14000</v>
      </c>
      <c r="J35">
        <f>Table1[[#This Row],[Revenue]]*12</f>
        <v>168000</v>
      </c>
      <c r="L35" s="4"/>
    </row>
    <row r="36" spans="1:12" x14ac:dyDescent="0.35">
      <c r="A36">
        <v>1045</v>
      </c>
      <c r="B36" t="str">
        <f>TEXT(Table1[[#This Row],[Date]], "mmm")</f>
        <v>Jan</v>
      </c>
      <c r="C36" t="s">
        <v>21</v>
      </c>
      <c r="D36" t="s">
        <v>31</v>
      </c>
      <c r="E36" t="s">
        <v>41</v>
      </c>
      <c r="F36" t="s">
        <v>15</v>
      </c>
      <c r="G36">
        <v>9</v>
      </c>
      <c r="H36">
        <v>20000</v>
      </c>
      <c r="I36">
        <v>180000</v>
      </c>
      <c r="J36">
        <f>Table1[[#This Row],[Revenue]]*12</f>
        <v>2160000</v>
      </c>
      <c r="L36" s="4"/>
    </row>
    <row r="37" spans="1:12" x14ac:dyDescent="0.35">
      <c r="A37">
        <v>1113</v>
      </c>
      <c r="B37" t="str">
        <f>TEXT(Table1[[#This Row],[Date]], "mmm")</f>
        <v>Jan</v>
      </c>
      <c r="C37" t="s">
        <v>21</v>
      </c>
      <c r="D37" t="s">
        <v>13</v>
      </c>
      <c r="E37" t="s">
        <v>20</v>
      </c>
      <c r="F37" t="s">
        <v>15</v>
      </c>
      <c r="G37">
        <v>2</v>
      </c>
      <c r="H37">
        <v>2000</v>
      </c>
      <c r="I37">
        <v>4000</v>
      </c>
      <c r="J37">
        <f>Table1[[#This Row],[Revenue]]*12</f>
        <v>48000</v>
      </c>
      <c r="L37" s="4"/>
    </row>
    <row r="38" spans="1:12" x14ac:dyDescent="0.35">
      <c r="A38">
        <v>1055</v>
      </c>
      <c r="B38" t="str">
        <f>TEXT(Table1[[#This Row],[Date]], "mmm")</f>
        <v>Jan</v>
      </c>
      <c r="C38" t="s">
        <v>48</v>
      </c>
      <c r="D38" t="s">
        <v>9</v>
      </c>
      <c r="E38" t="s">
        <v>32</v>
      </c>
      <c r="F38" t="s">
        <v>15</v>
      </c>
      <c r="G38">
        <v>5</v>
      </c>
      <c r="H38">
        <v>1500</v>
      </c>
      <c r="I38">
        <v>7500</v>
      </c>
      <c r="J38">
        <f>Table1[[#This Row],[Revenue]]*12</f>
        <v>90000</v>
      </c>
      <c r="L38" s="4"/>
    </row>
    <row r="39" spans="1:12" x14ac:dyDescent="0.35">
      <c r="A39">
        <v>1158</v>
      </c>
      <c r="B39" t="str">
        <f>TEXT(Table1[[#This Row],[Date]], "mmm")</f>
        <v>Jan</v>
      </c>
      <c r="C39" t="s">
        <v>48</v>
      </c>
      <c r="D39" t="s">
        <v>9</v>
      </c>
      <c r="E39" t="s">
        <v>45</v>
      </c>
      <c r="F39" t="s">
        <v>11</v>
      </c>
      <c r="G39">
        <v>9</v>
      </c>
      <c r="H39">
        <v>7000</v>
      </c>
      <c r="I39">
        <v>63000</v>
      </c>
      <c r="J39">
        <f>Table1[[#This Row],[Revenue]]*12</f>
        <v>756000</v>
      </c>
      <c r="L39" s="4"/>
    </row>
    <row r="40" spans="1:12" x14ac:dyDescent="0.35">
      <c r="A40">
        <v>1035</v>
      </c>
      <c r="B40" t="str">
        <f>TEXT(Table1[[#This Row],[Date]], "mmm")</f>
        <v>Jan</v>
      </c>
      <c r="C40" t="s">
        <v>48</v>
      </c>
      <c r="D40" t="s">
        <v>13</v>
      </c>
      <c r="E40" t="s">
        <v>14</v>
      </c>
      <c r="F40" t="s">
        <v>15</v>
      </c>
      <c r="G40">
        <v>6</v>
      </c>
      <c r="H40">
        <v>50000</v>
      </c>
      <c r="I40">
        <v>300000</v>
      </c>
      <c r="J40">
        <f>Table1[[#This Row],[Revenue]]*12</f>
        <v>3600000</v>
      </c>
      <c r="L40" s="4"/>
    </row>
    <row r="41" spans="1:12" x14ac:dyDescent="0.35">
      <c r="A41">
        <v>1008</v>
      </c>
      <c r="B41" t="str">
        <f>TEXT(Table1[[#This Row],[Date]], "mmm")</f>
        <v>Jan</v>
      </c>
      <c r="C41" t="s">
        <v>26</v>
      </c>
      <c r="D41" t="s">
        <v>17</v>
      </c>
      <c r="E41" t="s">
        <v>27</v>
      </c>
      <c r="F41" t="s">
        <v>15</v>
      </c>
      <c r="G41">
        <v>4</v>
      </c>
      <c r="H41">
        <v>800</v>
      </c>
      <c r="I41">
        <v>3200</v>
      </c>
      <c r="J41">
        <f>Table1[[#This Row],[Revenue]]*12</f>
        <v>38400</v>
      </c>
      <c r="L41" s="4"/>
    </row>
    <row r="42" spans="1:12" x14ac:dyDescent="0.35">
      <c r="A42">
        <v>1144</v>
      </c>
      <c r="B42" t="str">
        <f>TEXT(Table1[[#This Row],[Date]], "mmm")</f>
        <v>Jan</v>
      </c>
      <c r="C42" t="s">
        <v>26</v>
      </c>
      <c r="D42" t="s">
        <v>9</v>
      </c>
      <c r="E42" t="s">
        <v>25</v>
      </c>
      <c r="F42" t="s">
        <v>11</v>
      </c>
      <c r="G42">
        <v>6</v>
      </c>
      <c r="H42">
        <v>30000</v>
      </c>
      <c r="I42">
        <v>180000</v>
      </c>
      <c r="J42">
        <f>Table1[[#This Row],[Revenue]]*12</f>
        <v>2160000</v>
      </c>
      <c r="L42" s="4"/>
    </row>
    <row r="43" spans="1:12" x14ac:dyDescent="0.35">
      <c r="A43">
        <v>1189</v>
      </c>
      <c r="B43" t="str">
        <f>TEXT(Table1[[#This Row],[Date]], "mmm")</f>
        <v>Jan</v>
      </c>
      <c r="C43" t="s">
        <v>26</v>
      </c>
      <c r="D43" t="s">
        <v>17</v>
      </c>
      <c r="E43" t="s">
        <v>32</v>
      </c>
      <c r="F43" t="s">
        <v>15</v>
      </c>
      <c r="G43">
        <v>3</v>
      </c>
      <c r="H43">
        <v>1500</v>
      </c>
      <c r="I43">
        <v>4500</v>
      </c>
      <c r="J43">
        <f>Table1[[#This Row],[Revenue]]*12</f>
        <v>54000</v>
      </c>
      <c r="L43" s="4"/>
    </row>
    <row r="44" spans="1:12" x14ac:dyDescent="0.35">
      <c r="A44">
        <v>1159</v>
      </c>
      <c r="B44" t="str">
        <f>TEXT(Table1[[#This Row],[Date]], "mmm")</f>
        <v>Jan</v>
      </c>
      <c r="C44" t="s">
        <v>28</v>
      </c>
      <c r="D44" t="s">
        <v>13</v>
      </c>
      <c r="E44" t="s">
        <v>10</v>
      </c>
      <c r="F44" t="s">
        <v>11</v>
      </c>
      <c r="G44">
        <v>6</v>
      </c>
      <c r="H44">
        <v>25000</v>
      </c>
      <c r="I44">
        <v>150000</v>
      </c>
      <c r="J44">
        <f>Table1[[#This Row],[Revenue]]*12</f>
        <v>1800000</v>
      </c>
      <c r="L44" s="4"/>
    </row>
    <row r="45" spans="1:12" x14ac:dyDescent="0.35">
      <c r="A45">
        <v>1130</v>
      </c>
      <c r="B45" t="str">
        <f>TEXT(Table1[[#This Row],[Date]], "mmm")</f>
        <v>Jan</v>
      </c>
      <c r="C45" t="s">
        <v>28</v>
      </c>
      <c r="D45" t="s">
        <v>13</v>
      </c>
      <c r="E45" t="s">
        <v>23</v>
      </c>
      <c r="F45" t="s">
        <v>15</v>
      </c>
      <c r="G45">
        <v>8</v>
      </c>
      <c r="H45">
        <v>10000</v>
      </c>
      <c r="I45">
        <v>80000</v>
      </c>
      <c r="J45">
        <f>Table1[[#This Row],[Revenue]]*12</f>
        <v>960000</v>
      </c>
      <c r="L45" s="4"/>
    </row>
    <row r="46" spans="1:12" x14ac:dyDescent="0.35">
      <c r="A46">
        <v>1127</v>
      </c>
      <c r="B46" t="str">
        <f>TEXT(Table1[[#This Row],[Date]], "mmm")</f>
        <v>Jan</v>
      </c>
      <c r="C46" t="s">
        <v>28</v>
      </c>
      <c r="D46" t="s">
        <v>17</v>
      </c>
      <c r="E46" t="s">
        <v>27</v>
      </c>
      <c r="F46" t="s">
        <v>15</v>
      </c>
      <c r="G46">
        <v>10</v>
      </c>
      <c r="H46">
        <v>800</v>
      </c>
      <c r="I46">
        <v>8000</v>
      </c>
      <c r="J46">
        <f>Table1[[#This Row],[Revenue]]*12</f>
        <v>96000</v>
      </c>
      <c r="L46" s="4"/>
    </row>
    <row r="47" spans="1:12" x14ac:dyDescent="0.35">
      <c r="A47">
        <v>1084</v>
      </c>
      <c r="B47" t="str">
        <f>TEXT(Table1[[#This Row],[Date]], "mmm")</f>
        <v>Jan</v>
      </c>
      <c r="C47" t="s">
        <v>28</v>
      </c>
      <c r="D47" t="s">
        <v>13</v>
      </c>
      <c r="E47" t="s">
        <v>32</v>
      </c>
      <c r="F47" t="s">
        <v>15</v>
      </c>
      <c r="G47">
        <v>6</v>
      </c>
      <c r="H47">
        <v>1500</v>
      </c>
      <c r="I47">
        <v>9000</v>
      </c>
      <c r="J47">
        <f>Table1[[#This Row],[Revenue]]*12</f>
        <v>108000</v>
      </c>
      <c r="L47" s="4"/>
    </row>
    <row r="48" spans="1:12" x14ac:dyDescent="0.35">
      <c r="A48">
        <v>1009</v>
      </c>
      <c r="B48" t="str">
        <f>TEXT(Table1[[#This Row],[Date]], "mmm")</f>
        <v>Jan</v>
      </c>
      <c r="C48" t="s">
        <v>28</v>
      </c>
      <c r="D48" t="s">
        <v>17</v>
      </c>
      <c r="E48" t="s">
        <v>14</v>
      </c>
      <c r="F48" t="s">
        <v>15</v>
      </c>
      <c r="G48">
        <v>4</v>
      </c>
      <c r="H48">
        <v>50000</v>
      </c>
      <c r="I48">
        <v>200000</v>
      </c>
      <c r="J48">
        <f>Table1[[#This Row],[Revenue]]*12</f>
        <v>2400000</v>
      </c>
      <c r="L48" s="4"/>
    </row>
    <row r="49" spans="1:12" x14ac:dyDescent="0.35">
      <c r="A49">
        <v>1017</v>
      </c>
      <c r="B49" t="str">
        <f>TEXT(Table1[[#This Row],[Date]], "mmm")</f>
        <v>Jan</v>
      </c>
      <c r="C49" t="s">
        <v>28</v>
      </c>
      <c r="D49" t="s">
        <v>31</v>
      </c>
      <c r="E49" t="s">
        <v>20</v>
      </c>
      <c r="F49" t="s">
        <v>15</v>
      </c>
      <c r="G49">
        <v>7</v>
      </c>
      <c r="H49">
        <v>2000</v>
      </c>
      <c r="I49">
        <v>14000</v>
      </c>
      <c r="J49">
        <f>Table1[[#This Row],[Revenue]]*12</f>
        <v>168000</v>
      </c>
      <c r="L49" s="4"/>
    </row>
    <row r="50" spans="1:12" x14ac:dyDescent="0.35">
      <c r="A50">
        <v>1069</v>
      </c>
      <c r="B50" t="str">
        <f>TEXT(Table1[[#This Row],[Date]], "mmm")</f>
        <v>Jan</v>
      </c>
      <c r="C50" t="s">
        <v>66</v>
      </c>
      <c r="D50" t="s">
        <v>13</v>
      </c>
      <c r="E50" t="s">
        <v>10</v>
      </c>
      <c r="F50" t="s">
        <v>11</v>
      </c>
      <c r="G50">
        <v>7</v>
      </c>
      <c r="H50">
        <v>25000</v>
      </c>
      <c r="I50">
        <v>175000</v>
      </c>
      <c r="J50">
        <f>Table1[[#This Row],[Revenue]]*12</f>
        <v>2100000</v>
      </c>
      <c r="L50" s="4"/>
    </row>
    <row r="51" spans="1:12" x14ac:dyDescent="0.35">
      <c r="A51">
        <v>1148</v>
      </c>
      <c r="B51" t="str">
        <f>TEXT(Table1[[#This Row],[Date]], "mmm")</f>
        <v>Jan</v>
      </c>
      <c r="C51" t="s">
        <v>96</v>
      </c>
      <c r="D51" t="s">
        <v>13</v>
      </c>
      <c r="E51" t="s">
        <v>45</v>
      </c>
      <c r="F51" t="s">
        <v>11</v>
      </c>
      <c r="G51">
        <v>9</v>
      </c>
      <c r="H51">
        <v>7000</v>
      </c>
      <c r="I51">
        <v>63000</v>
      </c>
      <c r="J51">
        <f>Table1[[#This Row],[Revenue]]*12</f>
        <v>756000</v>
      </c>
      <c r="L51" s="4"/>
    </row>
    <row r="52" spans="1:12" x14ac:dyDescent="0.35">
      <c r="A52">
        <v>1081</v>
      </c>
      <c r="B52" t="str">
        <f>TEXT(Table1[[#This Row],[Date]], "mmm")</f>
        <v>Jan</v>
      </c>
      <c r="C52" t="s">
        <v>72</v>
      </c>
      <c r="D52" t="s">
        <v>13</v>
      </c>
      <c r="E52" t="s">
        <v>14</v>
      </c>
      <c r="F52" t="s">
        <v>15</v>
      </c>
      <c r="G52">
        <v>4</v>
      </c>
      <c r="H52">
        <v>50000</v>
      </c>
      <c r="I52">
        <v>200000</v>
      </c>
      <c r="J52">
        <f>Table1[[#This Row],[Revenue]]*12</f>
        <v>2400000</v>
      </c>
      <c r="L52" s="4"/>
    </row>
    <row r="53" spans="1:12" x14ac:dyDescent="0.35">
      <c r="A53">
        <v>1019</v>
      </c>
      <c r="B53" t="str">
        <f>TEXT(Table1[[#This Row],[Date]], "mmm")</f>
        <v>Jan</v>
      </c>
      <c r="C53" t="s">
        <v>33</v>
      </c>
      <c r="D53" t="s">
        <v>17</v>
      </c>
      <c r="E53" t="s">
        <v>10</v>
      </c>
      <c r="F53" t="s">
        <v>11</v>
      </c>
      <c r="G53">
        <v>2</v>
      </c>
      <c r="H53">
        <v>25000</v>
      </c>
      <c r="I53">
        <v>50000</v>
      </c>
      <c r="J53">
        <f>Table1[[#This Row],[Revenue]]*12</f>
        <v>600000</v>
      </c>
      <c r="L53" s="4"/>
    </row>
    <row r="54" spans="1:12" x14ac:dyDescent="0.35">
      <c r="A54">
        <v>1012</v>
      </c>
      <c r="B54" t="str">
        <f>TEXT(Table1[[#This Row],[Date]], "mmm")</f>
        <v>Jan</v>
      </c>
      <c r="C54" t="s">
        <v>33</v>
      </c>
      <c r="D54" t="s">
        <v>13</v>
      </c>
      <c r="E54" t="s">
        <v>32</v>
      </c>
      <c r="F54" t="s">
        <v>15</v>
      </c>
      <c r="G54">
        <v>3</v>
      </c>
      <c r="H54">
        <v>1500</v>
      </c>
      <c r="I54">
        <v>4500</v>
      </c>
      <c r="J54">
        <f>Table1[[#This Row],[Revenue]]*12</f>
        <v>54000</v>
      </c>
      <c r="L54" s="4"/>
    </row>
    <row r="55" spans="1:12" x14ac:dyDescent="0.35">
      <c r="A55">
        <v>1051</v>
      </c>
      <c r="B55" t="str">
        <f>TEXT(Table1[[#This Row],[Date]], "mmm")</f>
        <v>Jan</v>
      </c>
      <c r="C55" t="s">
        <v>33</v>
      </c>
      <c r="D55" t="s">
        <v>17</v>
      </c>
      <c r="E55" t="s">
        <v>23</v>
      </c>
      <c r="F55" t="s">
        <v>15</v>
      </c>
      <c r="G55">
        <v>5</v>
      </c>
      <c r="H55">
        <v>10000</v>
      </c>
      <c r="I55">
        <v>50000</v>
      </c>
      <c r="J55">
        <f>Table1[[#This Row],[Revenue]]*12</f>
        <v>600000</v>
      </c>
      <c r="L55" s="4"/>
    </row>
    <row r="56" spans="1:12" x14ac:dyDescent="0.35">
      <c r="A56">
        <v>1046</v>
      </c>
      <c r="B56" t="str">
        <f>TEXT(Table1[[#This Row],[Date]], "mmm")</f>
        <v>Jan</v>
      </c>
      <c r="C56" t="s">
        <v>33</v>
      </c>
      <c r="D56" t="s">
        <v>13</v>
      </c>
      <c r="E56" t="s">
        <v>14</v>
      </c>
      <c r="F56" t="s">
        <v>15</v>
      </c>
      <c r="G56">
        <v>8</v>
      </c>
      <c r="H56">
        <v>50000</v>
      </c>
      <c r="I56">
        <v>400000</v>
      </c>
      <c r="J56">
        <f>Table1[[#This Row],[Revenue]]*12</f>
        <v>4800000</v>
      </c>
      <c r="L56" s="4"/>
    </row>
    <row r="57" spans="1:12" x14ac:dyDescent="0.35">
      <c r="A57">
        <v>1151</v>
      </c>
      <c r="B57" t="str">
        <f>TEXT(Table1[[#This Row],[Date]], "mmm")</f>
        <v>Jan</v>
      </c>
      <c r="C57" t="s">
        <v>33</v>
      </c>
      <c r="D57" t="s">
        <v>17</v>
      </c>
      <c r="E57" t="s">
        <v>32</v>
      </c>
      <c r="F57" t="s">
        <v>15</v>
      </c>
      <c r="G57">
        <v>8</v>
      </c>
      <c r="H57">
        <v>1500</v>
      </c>
      <c r="I57">
        <v>12000</v>
      </c>
      <c r="J57">
        <f>Table1[[#This Row],[Revenue]]*12</f>
        <v>144000</v>
      </c>
      <c r="L57" s="4"/>
    </row>
    <row r="58" spans="1:12" x14ac:dyDescent="0.35">
      <c r="A58">
        <v>1076</v>
      </c>
      <c r="B58" t="str">
        <f>TEXT(Table1[[#This Row],[Date]], "mmm")</f>
        <v>Jan</v>
      </c>
      <c r="C58" t="s">
        <v>33</v>
      </c>
      <c r="D58" t="s">
        <v>17</v>
      </c>
      <c r="E58" t="s">
        <v>41</v>
      </c>
      <c r="F58" t="s">
        <v>15</v>
      </c>
      <c r="G58">
        <v>5</v>
      </c>
      <c r="H58">
        <v>20000</v>
      </c>
      <c r="I58">
        <v>100000</v>
      </c>
      <c r="J58">
        <f>Table1[[#This Row],[Revenue]]*12</f>
        <v>1200000</v>
      </c>
      <c r="L58" s="4"/>
    </row>
    <row r="59" spans="1:12" x14ac:dyDescent="0.35">
      <c r="A59">
        <v>1018</v>
      </c>
      <c r="B59" t="str">
        <f>TEXT(Table1[[#This Row],[Date]], "mmm")</f>
        <v>Jan</v>
      </c>
      <c r="C59" t="s">
        <v>33</v>
      </c>
      <c r="D59" t="s">
        <v>13</v>
      </c>
      <c r="E59" t="s">
        <v>27</v>
      </c>
      <c r="F59" t="s">
        <v>15</v>
      </c>
      <c r="G59">
        <v>9</v>
      </c>
      <c r="H59">
        <v>800</v>
      </c>
      <c r="I59">
        <v>7200</v>
      </c>
      <c r="J59">
        <f>Table1[[#This Row],[Revenue]]*12</f>
        <v>86400</v>
      </c>
      <c r="L59" s="4"/>
    </row>
    <row r="60" spans="1:12" x14ac:dyDescent="0.35">
      <c r="A60">
        <v>1136</v>
      </c>
      <c r="B60" t="str">
        <f>TEXT(Table1[[#This Row],[Date]], "mmm")</f>
        <v>Jan</v>
      </c>
      <c r="C60" t="s">
        <v>92</v>
      </c>
      <c r="D60" t="s">
        <v>13</v>
      </c>
      <c r="E60" t="s">
        <v>14</v>
      </c>
      <c r="F60" t="s">
        <v>15</v>
      </c>
      <c r="G60">
        <v>3</v>
      </c>
      <c r="H60">
        <v>50000</v>
      </c>
      <c r="I60">
        <v>150000</v>
      </c>
      <c r="J60">
        <f>Table1[[#This Row],[Revenue]]*12</f>
        <v>1800000</v>
      </c>
      <c r="L60" s="4"/>
    </row>
    <row r="61" spans="1:12" x14ac:dyDescent="0.35">
      <c r="A61">
        <v>1036</v>
      </c>
      <c r="B61" t="str">
        <f>TEXT(Table1[[#This Row],[Date]], "mmm")</f>
        <v>Jan</v>
      </c>
      <c r="C61" t="s">
        <v>49</v>
      </c>
      <c r="D61" t="s">
        <v>31</v>
      </c>
      <c r="E61" t="s">
        <v>18</v>
      </c>
      <c r="F61" t="s">
        <v>11</v>
      </c>
      <c r="G61">
        <v>1</v>
      </c>
      <c r="H61">
        <v>2000</v>
      </c>
      <c r="I61">
        <v>2000</v>
      </c>
      <c r="J61">
        <f>Table1[[#This Row],[Revenue]]*12</f>
        <v>24000</v>
      </c>
      <c r="L61" s="4"/>
    </row>
    <row r="62" spans="1:12" x14ac:dyDescent="0.35">
      <c r="A62">
        <v>1153</v>
      </c>
      <c r="B62" t="str">
        <f>TEXT(Table1[[#This Row],[Date]], "mmm")</f>
        <v>Jan</v>
      </c>
      <c r="C62" t="s">
        <v>49</v>
      </c>
      <c r="D62" t="s">
        <v>17</v>
      </c>
      <c r="E62" t="s">
        <v>18</v>
      </c>
      <c r="F62" t="s">
        <v>11</v>
      </c>
      <c r="G62">
        <v>10</v>
      </c>
      <c r="H62">
        <v>2000</v>
      </c>
      <c r="I62">
        <v>20000</v>
      </c>
      <c r="J62">
        <f>Table1[[#This Row],[Revenue]]*12</f>
        <v>240000</v>
      </c>
      <c r="L62" s="4"/>
    </row>
    <row r="63" spans="1:12" x14ac:dyDescent="0.35">
      <c r="A63">
        <v>1181</v>
      </c>
      <c r="B63" t="str">
        <f>TEXT(Table1[[#This Row],[Date]], "mmm")</f>
        <v>Jan</v>
      </c>
      <c r="C63" t="s">
        <v>101</v>
      </c>
      <c r="D63" t="s">
        <v>31</v>
      </c>
      <c r="E63" t="s">
        <v>10</v>
      </c>
      <c r="F63" t="s">
        <v>11</v>
      </c>
      <c r="G63">
        <v>3</v>
      </c>
      <c r="H63">
        <v>25000</v>
      </c>
      <c r="I63">
        <v>75000</v>
      </c>
      <c r="J63">
        <f>Table1[[#This Row],[Revenue]]*12</f>
        <v>900000</v>
      </c>
      <c r="L63" s="4"/>
    </row>
    <row r="64" spans="1:12" x14ac:dyDescent="0.35">
      <c r="A64">
        <v>1016</v>
      </c>
      <c r="B64" t="str">
        <f>TEXT(Table1[[#This Row],[Date]], "mmm")</f>
        <v>Jan</v>
      </c>
      <c r="C64" t="s">
        <v>34</v>
      </c>
      <c r="D64" t="s">
        <v>17</v>
      </c>
      <c r="E64" t="s">
        <v>20</v>
      </c>
      <c r="F64" t="s">
        <v>15</v>
      </c>
      <c r="G64">
        <v>6</v>
      </c>
      <c r="H64">
        <v>2000</v>
      </c>
      <c r="I64">
        <v>12000</v>
      </c>
      <c r="J64">
        <f>Table1[[#This Row],[Revenue]]*12</f>
        <v>144000</v>
      </c>
      <c r="L64" s="4"/>
    </row>
    <row r="65" spans="1:12" x14ac:dyDescent="0.35">
      <c r="A65">
        <v>1073</v>
      </c>
      <c r="B65" t="str">
        <f>TEXT(Table1[[#This Row],[Date]], "mmm")</f>
        <v>Jan</v>
      </c>
      <c r="C65" t="s">
        <v>34</v>
      </c>
      <c r="D65" t="s">
        <v>31</v>
      </c>
      <c r="E65" t="s">
        <v>14</v>
      </c>
      <c r="F65" t="s">
        <v>15</v>
      </c>
      <c r="G65">
        <v>6</v>
      </c>
      <c r="H65">
        <v>50000</v>
      </c>
      <c r="I65">
        <v>300000</v>
      </c>
      <c r="J65">
        <f>Table1[[#This Row],[Revenue]]*12</f>
        <v>3600000</v>
      </c>
      <c r="L65" s="4"/>
    </row>
    <row r="66" spans="1:12" x14ac:dyDescent="0.35">
      <c r="A66">
        <v>1013</v>
      </c>
      <c r="B66" t="str">
        <f>TEXT(Table1[[#This Row],[Date]], "mmm")</f>
        <v>Jan</v>
      </c>
      <c r="C66" t="s">
        <v>34</v>
      </c>
      <c r="D66" t="s">
        <v>9</v>
      </c>
      <c r="E66" t="s">
        <v>20</v>
      </c>
      <c r="F66" t="s">
        <v>15</v>
      </c>
      <c r="G66">
        <v>5</v>
      </c>
      <c r="H66">
        <v>2000</v>
      </c>
      <c r="I66">
        <v>10000</v>
      </c>
      <c r="J66">
        <f>Table1[[#This Row],[Revenue]]*12</f>
        <v>120000</v>
      </c>
      <c r="L66" s="4"/>
    </row>
    <row r="67" spans="1:12" x14ac:dyDescent="0.35">
      <c r="A67">
        <v>1191</v>
      </c>
      <c r="B67" t="str">
        <f>TEXT(Table1[[#This Row],[Date]], "mmm")</f>
        <v>Jan</v>
      </c>
      <c r="C67" t="s">
        <v>34</v>
      </c>
      <c r="D67" t="s">
        <v>17</v>
      </c>
      <c r="E67" t="s">
        <v>25</v>
      </c>
      <c r="F67" t="s">
        <v>11</v>
      </c>
      <c r="G67">
        <v>5</v>
      </c>
      <c r="H67">
        <v>30000</v>
      </c>
      <c r="I67">
        <v>150000</v>
      </c>
      <c r="J67">
        <f>Table1[[#This Row],[Revenue]]*12</f>
        <v>1800000</v>
      </c>
      <c r="L67" s="4"/>
    </row>
    <row r="68" spans="1:12" x14ac:dyDescent="0.35">
      <c r="A68">
        <v>1147</v>
      </c>
      <c r="B68" t="str">
        <f>TEXT(Table1[[#This Row],[Date]], "mmm")</f>
        <v>Jan</v>
      </c>
      <c r="C68" t="s">
        <v>19</v>
      </c>
      <c r="D68" t="s">
        <v>31</v>
      </c>
      <c r="E68" t="s">
        <v>23</v>
      </c>
      <c r="F68" t="s">
        <v>15</v>
      </c>
      <c r="G68">
        <v>3</v>
      </c>
      <c r="H68">
        <v>10000</v>
      </c>
      <c r="I68">
        <v>30000</v>
      </c>
      <c r="J68">
        <f>Table1[[#This Row],[Revenue]]*12</f>
        <v>360000</v>
      </c>
      <c r="L68" s="4"/>
    </row>
    <row r="69" spans="1:12" x14ac:dyDescent="0.35">
      <c r="A69">
        <v>1082</v>
      </c>
      <c r="B69" t="str">
        <f>TEXT(Table1[[#This Row],[Date]], "mmm")</f>
        <v>Jan</v>
      </c>
      <c r="C69" t="s">
        <v>19</v>
      </c>
      <c r="D69" t="s">
        <v>31</v>
      </c>
      <c r="E69" t="s">
        <v>41</v>
      </c>
      <c r="F69" t="s">
        <v>15</v>
      </c>
      <c r="G69">
        <v>4</v>
      </c>
      <c r="H69">
        <v>20000</v>
      </c>
      <c r="I69">
        <v>80000</v>
      </c>
      <c r="J69">
        <f>Table1[[#This Row],[Revenue]]*12</f>
        <v>960000</v>
      </c>
      <c r="L69" s="4"/>
    </row>
    <row r="70" spans="1:12" x14ac:dyDescent="0.35">
      <c r="A70">
        <v>1141</v>
      </c>
      <c r="B70" t="str">
        <f>TEXT(Table1[[#This Row],[Date]], "mmm")</f>
        <v>Jan</v>
      </c>
      <c r="C70" t="s">
        <v>19</v>
      </c>
      <c r="D70" t="s">
        <v>9</v>
      </c>
      <c r="E70" t="s">
        <v>10</v>
      </c>
      <c r="F70" t="s">
        <v>11</v>
      </c>
      <c r="G70">
        <v>7</v>
      </c>
      <c r="H70">
        <v>25000</v>
      </c>
      <c r="I70">
        <v>175000</v>
      </c>
      <c r="J70">
        <f>Table1[[#This Row],[Revenue]]*12</f>
        <v>2100000</v>
      </c>
      <c r="L70" s="4"/>
    </row>
    <row r="71" spans="1:12" x14ac:dyDescent="0.35">
      <c r="A71">
        <v>1004</v>
      </c>
      <c r="B71" t="str">
        <f>TEXT(Table1[[#This Row],[Date]], "mmm")</f>
        <v>Jan</v>
      </c>
      <c r="C71" t="s">
        <v>19</v>
      </c>
      <c r="D71" t="s">
        <v>9</v>
      </c>
      <c r="E71" t="s">
        <v>20</v>
      </c>
      <c r="F71" t="s">
        <v>15</v>
      </c>
      <c r="G71">
        <v>7</v>
      </c>
      <c r="H71">
        <v>2000</v>
      </c>
      <c r="I71">
        <v>14000</v>
      </c>
      <c r="J71">
        <f>Table1[[#This Row],[Revenue]]*12</f>
        <v>168000</v>
      </c>
      <c r="L71" s="4"/>
    </row>
    <row r="72" spans="1:12" x14ac:dyDescent="0.35">
      <c r="A72">
        <v>1049</v>
      </c>
      <c r="B72" t="str">
        <f>TEXT(Table1[[#This Row],[Date]], "mmm")</f>
        <v>Jan</v>
      </c>
      <c r="C72" t="s">
        <v>16</v>
      </c>
      <c r="D72" t="s">
        <v>9</v>
      </c>
      <c r="E72" t="s">
        <v>18</v>
      </c>
      <c r="F72" t="s">
        <v>11</v>
      </c>
      <c r="G72">
        <v>10</v>
      </c>
      <c r="H72">
        <v>2000</v>
      </c>
      <c r="I72">
        <v>20000</v>
      </c>
      <c r="J72">
        <f>Table1[[#This Row],[Revenue]]*12</f>
        <v>240000</v>
      </c>
      <c r="L72" s="4"/>
    </row>
    <row r="73" spans="1:12" x14ac:dyDescent="0.35">
      <c r="A73">
        <v>1002</v>
      </c>
      <c r="B73" t="str">
        <f>TEXT(Table1[[#This Row],[Date]], "mmm")</f>
        <v>Jan</v>
      </c>
      <c r="C73" t="s">
        <v>16</v>
      </c>
      <c r="D73" t="s">
        <v>17</v>
      </c>
      <c r="E73" t="s">
        <v>14</v>
      </c>
      <c r="F73" t="s">
        <v>15</v>
      </c>
      <c r="G73">
        <v>3</v>
      </c>
      <c r="H73">
        <v>50000</v>
      </c>
      <c r="I73">
        <v>150000</v>
      </c>
      <c r="J73">
        <f>Table1[[#This Row],[Revenue]]*12</f>
        <v>1800000</v>
      </c>
      <c r="L73" s="4"/>
    </row>
    <row r="74" spans="1:12" x14ac:dyDescent="0.35">
      <c r="A74">
        <v>1024</v>
      </c>
      <c r="B74" t="str">
        <f>TEXT(Table1[[#This Row],[Date]], "mmm")</f>
        <v>Jan</v>
      </c>
      <c r="C74" t="s">
        <v>16</v>
      </c>
      <c r="D74" t="s">
        <v>17</v>
      </c>
      <c r="E74" t="s">
        <v>10</v>
      </c>
      <c r="F74" t="s">
        <v>11</v>
      </c>
      <c r="G74">
        <v>3</v>
      </c>
      <c r="H74">
        <v>25000</v>
      </c>
      <c r="I74">
        <v>75000</v>
      </c>
      <c r="J74">
        <f>Table1[[#This Row],[Revenue]]*12</f>
        <v>900000</v>
      </c>
      <c r="L74" s="4"/>
    </row>
    <row r="75" spans="1:12" x14ac:dyDescent="0.35">
      <c r="A75">
        <v>1096</v>
      </c>
      <c r="B75" t="str">
        <f>TEXT(Table1[[#This Row],[Date]], "mmm")</f>
        <v>Jan</v>
      </c>
      <c r="C75" t="s">
        <v>16</v>
      </c>
      <c r="D75" t="s">
        <v>13</v>
      </c>
      <c r="E75" t="s">
        <v>20</v>
      </c>
      <c r="F75" t="s">
        <v>15</v>
      </c>
      <c r="G75">
        <v>1</v>
      </c>
      <c r="H75">
        <v>2000</v>
      </c>
      <c r="I75">
        <v>2000</v>
      </c>
      <c r="J75">
        <f>Table1[[#This Row],[Revenue]]*12</f>
        <v>24000</v>
      </c>
      <c r="L75" s="4"/>
    </row>
    <row r="76" spans="1:12" x14ac:dyDescent="0.35">
      <c r="A76">
        <v>1020</v>
      </c>
      <c r="B76" t="str">
        <f>TEXT(Table1[[#This Row],[Date]], "mmm")</f>
        <v>Jan</v>
      </c>
      <c r="C76" t="s">
        <v>37</v>
      </c>
      <c r="D76" t="s">
        <v>13</v>
      </c>
      <c r="E76" t="s">
        <v>14</v>
      </c>
      <c r="F76" t="s">
        <v>15</v>
      </c>
      <c r="G76">
        <v>3</v>
      </c>
      <c r="H76">
        <v>50000</v>
      </c>
      <c r="I76">
        <v>150000</v>
      </c>
      <c r="J76">
        <f>Table1[[#This Row],[Revenue]]*12</f>
        <v>1800000</v>
      </c>
      <c r="L76" s="4"/>
    </row>
    <row r="77" spans="1:12" x14ac:dyDescent="0.35">
      <c r="A77">
        <v>1101</v>
      </c>
      <c r="B77" t="str">
        <f>TEXT(Table1[[#This Row],[Date]], "mmm")</f>
        <v>Jan</v>
      </c>
      <c r="C77" t="s">
        <v>37</v>
      </c>
      <c r="D77" t="s">
        <v>17</v>
      </c>
      <c r="E77" t="s">
        <v>41</v>
      </c>
      <c r="F77" t="s">
        <v>15</v>
      </c>
      <c r="G77">
        <v>4</v>
      </c>
      <c r="H77">
        <v>20000</v>
      </c>
      <c r="I77">
        <v>80000</v>
      </c>
      <c r="J77">
        <f>Table1[[#This Row],[Revenue]]*12</f>
        <v>960000</v>
      </c>
      <c r="L77" s="4"/>
    </row>
    <row r="78" spans="1:12" x14ac:dyDescent="0.35">
      <c r="A78">
        <v>1077</v>
      </c>
      <c r="B78" t="str">
        <f>TEXT(Table1[[#This Row],[Date]], "mmm")</f>
        <v>Jan</v>
      </c>
      <c r="C78" t="s">
        <v>37</v>
      </c>
      <c r="D78" t="s">
        <v>9</v>
      </c>
      <c r="E78" t="s">
        <v>14</v>
      </c>
      <c r="F78" t="s">
        <v>15</v>
      </c>
      <c r="G78">
        <v>9</v>
      </c>
      <c r="H78">
        <v>50000</v>
      </c>
      <c r="I78">
        <v>450000</v>
      </c>
      <c r="J78">
        <f>Table1[[#This Row],[Revenue]]*12</f>
        <v>5400000</v>
      </c>
      <c r="L78" s="4"/>
    </row>
    <row r="79" spans="1:12" x14ac:dyDescent="0.35">
      <c r="A79">
        <v>1053</v>
      </c>
      <c r="B79" t="str">
        <f>TEXT(Table1[[#This Row],[Date]], "mmm")</f>
        <v>Feb</v>
      </c>
      <c r="C79" t="s">
        <v>58</v>
      </c>
      <c r="D79" t="s">
        <v>31</v>
      </c>
      <c r="E79" t="s">
        <v>27</v>
      </c>
      <c r="F79" t="s">
        <v>15</v>
      </c>
      <c r="G79">
        <v>4</v>
      </c>
      <c r="H79">
        <v>800</v>
      </c>
      <c r="I79">
        <v>3200</v>
      </c>
      <c r="J79">
        <f>Table1[[#This Row],[Revenue]]*12</f>
        <v>38400</v>
      </c>
      <c r="L79" s="4"/>
    </row>
    <row r="80" spans="1:12" x14ac:dyDescent="0.35">
      <c r="A80">
        <v>1054</v>
      </c>
      <c r="B80" t="str">
        <f>TEXT(Table1[[#This Row],[Date]], "mmm")</f>
        <v>Feb</v>
      </c>
      <c r="C80" t="s">
        <v>59</v>
      </c>
      <c r="D80" t="s">
        <v>13</v>
      </c>
      <c r="E80" t="s">
        <v>14</v>
      </c>
      <c r="F80" t="s">
        <v>15</v>
      </c>
      <c r="G80">
        <v>10</v>
      </c>
      <c r="H80">
        <v>50000</v>
      </c>
      <c r="I80">
        <v>500000</v>
      </c>
      <c r="J80">
        <f>Table1[[#This Row],[Revenue]]*12</f>
        <v>6000000</v>
      </c>
      <c r="L80" s="4"/>
    </row>
    <row r="81" spans="1:12" x14ac:dyDescent="0.35">
      <c r="A81">
        <v>1186</v>
      </c>
      <c r="B81" t="str">
        <f>TEXT(Table1[[#This Row],[Date]], "mmm")</f>
        <v>Feb</v>
      </c>
      <c r="C81" t="s">
        <v>59</v>
      </c>
      <c r="D81" t="s">
        <v>9</v>
      </c>
      <c r="E81" t="s">
        <v>23</v>
      </c>
      <c r="F81" t="s">
        <v>15</v>
      </c>
      <c r="G81">
        <v>2</v>
      </c>
      <c r="H81">
        <v>10000</v>
      </c>
      <c r="I81">
        <v>20000</v>
      </c>
      <c r="J81">
        <f>Table1[[#This Row],[Revenue]]*12</f>
        <v>240000</v>
      </c>
      <c r="L81" s="4"/>
    </row>
    <row r="82" spans="1:12" x14ac:dyDescent="0.35">
      <c r="A82">
        <v>1119</v>
      </c>
      <c r="B82" t="str">
        <f>TEXT(Table1[[#This Row],[Date]], "mmm")</f>
        <v>Feb</v>
      </c>
      <c r="C82" t="s">
        <v>59</v>
      </c>
      <c r="D82" t="s">
        <v>9</v>
      </c>
      <c r="E82" t="s">
        <v>32</v>
      </c>
      <c r="F82" t="s">
        <v>15</v>
      </c>
      <c r="G82">
        <v>4</v>
      </c>
      <c r="H82">
        <v>1500</v>
      </c>
      <c r="I82">
        <v>6000</v>
      </c>
      <c r="J82">
        <f>Table1[[#This Row],[Revenue]]*12</f>
        <v>72000</v>
      </c>
      <c r="L82" s="4"/>
    </row>
    <row r="83" spans="1:12" x14ac:dyDescent="0.35">
      <c r="A83">
        <v>1197</v>
      </c>
      <c r="B83" t="str">
        <f>TEXT(Table1[[#This Row],[Date]], "mmm")</f>
        <v>Feb</v>
      </c>
      <c r="C83" t="s">
        <v>100</v>
      </c>
      <c r="D83" t="s">
        <v>31</v>
      </c>
      <c r="E83" t="s">
        <v>20</v>
      </c>
      <c r="F83" t="s">
        <v>15</v>
      </c>
      <c r="G83">
        <v>9</v>
      </c>
      <c r="H83">
        <v>2000</v>
      </c>
      <c r="I83">
        <v>18000</v>
      </c>
      <c r="J83">
        <f>Table1[[#This Row],[Revenue]]*12</f>
        <v>216000</v>
      </c>
      <c r="L83" s="4"/>
    </row>
    <row r="84" spans="1:12" x14ac:dyDescent="0.35">
      <c r="A84">
        <v>1180</v>
      </c>
      <c r="B84" t="str">
        <f>TEXT(Table1[[#This Row],[Date]], "mmm")</f>
        <v>Feb</v>
      </c>
      <c r="C84" t="s">
        <v>100</v>
      </c>
      <c r="D84" t="s">
        <v>9</v>
      </c>
      <c r="E84" t="s">
        <v>45</v>
      </c>
      <c r="F84" t="s">
        <v>11</v>
      </c>
      <c r="G84">
        <v>2</v>
      </c>
      <c r="H84">
        <v>7000</v>
      </c>
      <c r="I84">
        <v>14000</v>
      </c>
      <c r="J84">
        <f>Table1[[#This Row],[Revenue]]*12</f>
        <v>168000</v>
      </c>
      <c r="L84" s="4"/>
    </row>
    <row r="85" spans="1:12" x14ac:dyDescent="0.35">
      <c r="A85">
        <v>1198</v>
      </c>
      <c r="B85" t="str">
        <f>TEXT(Table1[[#This Row],[Date]], "mmm")</f>
        <v>Feb</v>
      </c>
      <c r="C85" t="s">
        <v>63</v>
      </c>
      <c r="D85" t="s">
        <v>13</v>
      </c>
      <c r="E85" t="s">
        <v>18</v>
      </c>
      <c r="F85" t="s">
        <v>11</v>
      </c>
      <c r="G85">
        <v>3</v>
      </c>
      <c r="H85">
        <v>2000</v>
      </c>
      <c r="I85">
        <v>6000</v>
      </c>
      <c r="J85">
        <f>Table1[[#This Row],[Revenue]]*12</f>
        <v>72000</v>
      </c>
      <c r="L85" s="4"/>
    </row>
    <row r="86" spans="1:12" x14ac:dyDescent="0.35">
      <c r="A86">
        <v>1065</v>
      </c>
      <c r="B86" t="str">
        <f>TEXT(Table1[[#This Row],[Date]], "mmm")</f>
        <v>Feb</v>
      </c>
      <c r="C86" t="s">
        <v>63</v>
      </c>
      <c r="D86" t="s">
        <v>9</v>
      </c>
      <c r="E86" t="s">
        <v>41</v>
      </c>
      <c r="F86" t="s">
        <v>15</v>
      </c>
      <c r="G86">
        <v>2</v>
      </c>
      <c r="H86">
        <v>20000</v>
      </c>
      <c r="I86">
        <v>40000</v>
      </c>
      <c r="J86">
        <f>Table1[[#This Row],[Revenue]]*12</f>
        <v>480000</v>
      </c>
      <c r="L86" s="4"/>
    </row>
    <row r="87" spans="1:12" x14ac:dyDescent="0.35">
      <c r="A87">
        <v>1190</v>
      </c>
      <c r="B87" t="str">
        <f>TEXT(Table1[[#This Row],[Date]], "mmm")</f>
        <v>Feb</v>
      </c>
      <c r="C87" t="s">
        <v>63</v>
      </c>
      <c r="D87" t="s">
        <v>9</v>
      </c>
      <c r="E87" t="s">
        <v>45</v>
      </c>
      <c r="F87" t="s">
        <v>11</v>
      </c>
      <c r="G87">
        <v>8</v>
      </c>
      <c r="H87">
        <v>7000</v>
      </c>
      <c r="I87">
        <v>56000</v>
      </c>
      <c r="J87">
        <f>Table1[[#This Row],[Revenue]]*12</f>
        <v>672000</v>
      </c>
      <c r="L87" s="4"/>
    </row>
    <row r="88" spans="1:12" x14ac:dyDescent="0.35">
      <c r="A88">
        <v>1139</v>
      </c>
      <c r="B88" t="str">
        <f>TEXT(Table1[[#This Row],[Date]], "mmm")</f>
        <v>Feb</v>
      </c>
      <c r="C88" t="s">
        <v>83</v>
      </c>
      <c r="D88" t="s">
        <v>17</v>
      </c>
      <c r="E88" t="s">
        <v>20</v>
      </c>
      <c r="F88" t="s">
        <v>15</v>
      </c>
      <c r="G88">
        <v>9</v>
      </c>
      <c r="H88">
        <v>2000</v>
      </c>
      <c r="I88">
        <v>18000</v>
      </c>
      <c r="J88">
        <f>Table1[[#This Row],[Revenue]]*12</f>
        <v>216000</v>
      </c>
      <c r="L88" s="4"/>
    </row>
    <row r="89" spans="1:12" x14ac:dyDescent="0.35">
      <c r="A89">
        <v>1100</v>
      </c>
      <c r="B89" t="str">
        <f>TEXT(Table1[[#This Row],[Date]], "mmm")</f>
        <v>Feb</v>
      </c>
      <c r="C89" t="s">
        <v>83</v>
      </c>
      <c r="D89" t="s">
        <v>9</v>
      </c>
      <c r="E89" t="s">
        <v>41</v>
      </c>
      <c r="F89" t="s">
        <v>15</v>
      </c>
      <c r="G89">
        <v>10</v>
      </c>
      <c r="H89">
        <v>20000</v>
      </c>
      <c r="I89">
        <v>200000</v>
      </c>
      <c r="J89">
        <f>Table1[[#This Row],[Revenue]]*12</f>
        <v>2400000</v>
      </c>
      <c r="L89" s="4"/>
    </row>
    <row r="90" spans="1:12" x14ac:dyDescent="0.35">
      <c r="A90">
        <v>1028</v>
      </c>
      <c r="B90" t="str">
        <f>TEXT(Table1[[#This Row],[Date]], "mmm")</f>
        <v>Feb</v>
      </c>
      <c r="C90" t="s">
        <v>36</v>
      </c>
      <c r="D90" t="s">
        <v>13</v>
      </c>
      <c r="E90" t="s">
        <v>10</v>
      </c>
      <c r="F90" t="s">
        <v>11</v>
      </c>
      <c r="G90">
        <v>6</v>
      </c>
      <c r="H90">
        <v>25000</v>
      </c>
      <c r="I90">
        <v>150000</v>
      </c>
      <c r="J90">
        <f>Table1[[#This Row],[Revenue]]*12</f>
        <v>1800000</v>
      </c>
      <c r="L90" s="4"/>
    </row>
    <row r="91" spans="1:12" x14ac:dyDescent="0.35">
      <c r="A91">
        <v>1015</v>
      </c>
      <c r="B91" t="str">
        <f>TEXT(Table1[[#This Row],[Date]], "mmm")</f>
        <v>Feb</v>
      </c>
      <c r="C91" t="s">
        <v>36</v>
      </c>
      <c r="D91" t="s">
        <v>17</v>
      </c>
      <c r="E91" t="s">
        <v>23</v>
      </c>
      <c r="F91" t="s">
        <v>15</v>
      </c>
      <c r="G91">
        <v>7</v>
      </c>
      <c r="H91">
        <v>10000</v>
      </c>
      <c r="I91">
        <v>70000</v>
      </c>
      <c r="J91">
        <f>Table1[[#This Row],[Revenue]]*12</f>
        <v>840000</v>
      </c>
      <c r="L91" s="4"/>
    </row>
    <row r="92" spans="1:12" x14ac:dyDescent="0.35">
      <c r="A92">
        <v>1074</v>
      </c>
      <c r="B92" t="str">
        <f>TEXT(Table1[[#This Row],[Date]], "mmm")</f>
        <v>Feb</v>
      </c>
      <c r="C92" t="s">
        <v>8</v>
      </c>
      <c r="D92" t="s">
        <v>31</v>
      </c>
      <c r="E92" t="s">
        <v>25</v>
      </c>
      <c r="F92" t="s">
        <v>11</v>
      </c>
      <c r="G92">
        <v>4</v>
      </c>
      <c r="H92">
        <v>30000</v>
      </c>
      <c r="I92">
        <v>120000</v>
      </c>
      <c r="J92">
        <f>Table1[[#This Row],[Revenue]]*12</f>
        <v>1440000</v>
      </c>
      <c r="L92" s="4"/>
    </row>
    <row r="93" spans="1:12" x14ac:dyDescent="0.35">
      <c r="A93">
        <v>1003</v>
      </c>
      <c r="B93" t="str">
        <f>TEXT(Table1[[#This Row],[Date]], "mmm")</f>
        <v>Feb</v>
      </c>
      <c r="C93" t="s">
        <v>8</v>
      </c>
      <c r="D93" t="s">
        <v>9</v>
      </c>
      <c r="E93" t="s">
        <v>18</v>
      </c>
      <c r="F93" t="s">
        <v>11</v>
      </c>
      <c r="G93">
        <v>3</v>
      </c>
      <c r="H93">
        <v>2000</v>
      </c>
      <c r="I93">
        <v>6000</v>
      </c>
      <c r="J93">
        <f>Table1[[#This Row],[Revenue]]*12</f>
        <v>72000</v>
      </c>
      <c r="L93" s="4"/>
    </row>
    <row r="94" spans="1:12" x14ac:dyDescent="0.35">
      <c r="A94">
        <v>1000</v>
      </c>
      <c r="B94" t="str">
        <f>TEXT(Table1[[#This Row],[Date]], "mmm")</f>
        <v>Feb</v>
      </c>
      <c r="C94" t="s">
        <v>8</v>
      </c>
      <c r="D94" t="s">
        <v>9</v>
      </c>
      <c r="E94" t="s">
        <v>10</v>
      </c>
      <c r="F94" t="s">
        <v>11</v>
      </c>
      <c r="G94">
        <v>7</v>
      </c>
      <c r="H94">
        <v>25000</v>
      </c>
      <c r="I94">
        <v>175000</v>
      </c>
      <c r="J94">
        <f>Table1[[#This Row],[Revenue]]*12</f>
        <v>2100000</v>
      </c>
      <c r="L94" s="4"/>
    </row>
    <row r="95" spans="1:12" x14ac:dyDescent="0.35">
      <c r="A95">
        <v>1056</v>
      </c>
      <c r="B95" t="str">
        <f>TEXT(Table1[[#This Row],[Date]], "mmm")</f>
        <v>Feb</v>
      </c>
      <c r="C95" t="s">
        <v>8</v>
      </c>
      <c r="D95" t="s">
        <v>9</v>
      </c>
      <c r="E95" t="s">
        <v>27</v>
      </c>
      <c r="F95" t="s">
        <v>15</v>
      </c>
      <c r="G95">
        <v>10</v>
      </c>
      <c r="H95">
        <v>800</v>
      </c>
      <c r="I95">
        <v>8000</v>
      </c>
      <c r="J95">
        <f>Table1[[#This Row],[Revenue]]*12</f>
        <v>96000</v>
      </c>
      <c r="L95" s="4"/>
    </row>
    <row r="96" spans="1:12" x14ac:dyDescent="0.35">
      <c r="A96">
        <v>1169</v>
      </c>
      <c r="B96" t="str">
        <f>TEXT(Table1[[#This Row],[Date]], "mmm")</f>
        <v>Feb</v>
      </c>
      <c r="C96" t="s">
        <v>61</v>
      </c>
      <c r="D96" t="s">
        <v>9</v>
      </c>
      <c r="E96" t="s">
        <v>45</v>
      </c>
      <c r="F96" t="s">
        <v>11</v>
      </c>
      <c r="G96">
        <v>5</v>
      </c>
      <c r="H96">
        <v>7000</v>
      </c>
      <c r="I96">
        <v>35000</v>
      </c>
      <c r="J96">
        <f>Table1[[#This Row],[Revenue]]*12</f>
        <v>420000</v>
      </c>
      <c r="L96" s="4"/>
    </row>
    <row r="97" spans="1:12" x14ac:dyDescent="0.35">
      <c r="A97">
        <v>1059</v>
      </c>
      <c r="B97" t="str">
        <f>TEXT(Table1[[#This Row],[Date]], "mmm")</f>
        <v>Feb</v>
      </c>
      <c r="C97" t="s">
        <v>61</v>
      </c>
      <c r="D97" t="s">
        <v>9</v>
      </c>
      <c r="E97" t="s">
        <v>45</v>
      </c>
      <c r="F97" t="s">
        <v>11</v>
      </c>
      <c r="G97">
        <v>8</v>
      </c>
      <c r="H97">
        <v>7000</v>
      </c>
      <c r="I97">
        <v>56000</v>
      </c>
      <c r="J97">
        <f>Table1[[#This Row],[Revenue]]*12</f>
        <v>672000</v>
      </c>
      <c r="L97" s="4"/>
    </row>
    <row r="98" spans="1:12" x14ac:dyDescent="0.35">
      <c r="A98">
        <v>1179</v>
      </c>
      <c r="B98" t="str">
        <f>TEXT(Table1[[#This Row],[Date]], "mmm")</f>
        <v>Feb</v>
      </c>
      <c r="C98" t="s">
        <v>73</v>
      </c>
      <c r="D98" t="s">
        <v>31</v>
      </c>
      <c r="E98" t="s">
        <v>45</v>
      </c>
      <c r="F98" t="s">
        <v>11</v>
      </c>
      <c r="G98">
        <v>1</v>
      </c>
      <c r="H98">
        <v>7000</v>
      </c>
      <c r="I98">
        <v>7000</v>
      </c>
      <c r="J98">
        <f>Table1[[#This Row],[Revenue]]*12</f>
        <v>84000</v>
      </c>
      <c r="L98" s="4"/>
    </row>
    <row r="99" spans="1:12" x14ac:dyDescent="0.35">
      <c r="A99">
        <v>1086</v>
      </c>
      <c r="B99" t="str">
        <f>TEXT(Table1[[#This Row],[Date]], "mmm")</f>
        <v>Feb</v>
      </c>
      <c r="C99" t="s">
        <v>73</v>
      </c>
      <c r="D99" t="s">
        <v>9</v>
      </c>
      <c r="E99" t="s">
        <v>25</v>
      </c>
      <c r="F99" t="s">
        <v>11</v>
      </c>
      <c r="G99">
        <v>3</v>
      </c>
      <c r="H99">
        <v>30000</v>
      </c>
      <c r="I99">
        <v>90000</v>
      </c>
      <c r="J99">
        <f>Table1[[#This Row],[Revenue]]*12</f>
        <v>1080000</v>
      </c>
      <c r="L99" s="4"/>
    </row>
    <row r="100" spans="1:12" x14ac:dyDescent="0.35">
      <c r="A100">
        <v>1116</v>
      </c>
      <c r="B100" t="str">
        <f>TEXT(Table1[[#This Row],[Date]], "mmm")</f>
        <v>Feb</v>
      </c>
      <c r="C100" t="s">
        <v>22</v>
      </c>
      <c r="D100" t="s">
        <v>9</v>
      </c>
      <c r="E100" t="s">
        <v>32</v>
      </c>
      <c r="F100" t="s">
        <v>15</v>
      </c>
      <c r="G100">
        <v>1</v>
      </c>
      <c r="H100">
        <v>1500</v>
      </c>
      <c r="I100">
        <v>1500</v>
      </c>
      <c r="J100">
        <f>Table1[[#This Row],[Revenue]]*12</f>
        <v>18000</v>
      </c>
      <c r="L100" s="4"/>
    </row>
    <row r="101" spans="1:12" x14ac:dyDescent="0.35">
      <c r="A101">
        <v>1006</v>
      </c>
      <c r="B101" t="str">
        <f>TEXT(Table1[[#This Row],[Date]], "mmm")</f>
        <v>Feb</v>
      </c>
      <c r="C101" t="s">
        <v>22</v>
      </c>
      <c r="D101" t="s">
        <v>13</v>
      </c>
      <c r="E101" t="s">
        <v>23</v>
      </c>
      <c r="F101" t="s">
        <v>15</v>
      </c>
      <c r="G101">
        <v>9</v>
      </c>
      <c r="H101">
        <v>10000</v>
      </c>
      <c r="I101">
        <v>90000</v>
      </c>
      <c r="J101">
        <f>Table1[[#This Row],[Revenue]]*12</f>
        <v>1080000</v>
      </c>
      <c r="L101" s="4"/>
    </row>
    <row r="102" spans="1:12" x14ac:dyDescent="0.35">
      <c r="A102">
        <v>1128</v>
      </c>
      <c r="B102" t="str">
        <f>TEXT(Table1[[#This Row],[Date]], "mmm")</f>
        <v>Feb</v>
      </c>
      <c r="C102" t="s">
        <v>22</v>
      </c>
      <c r="D102" t="s">
        <v>13</v>
      </c>
      <c r="E102" t="s">
        <v>41</v>
      </c>
      <c r="F102" t="s">
        <v>15</v>
      </c>
      <c r="G102">
        <v>2</v>
      </c>
      <c r="H102">
        <v>20000</v>
      </c>
      <c r="I102">
        <v>40000</v>
      </c>
      <c r="J102">
        <f>Table1[[#This Row],[Revenue]]*12</f>
        <v>480000</v>
      </c>
      <c r="L102" s="4"/>
    </row>
    <row r="103" spans="1:12" x14ac:dyDescent="0.35">
      <c r="A103">
        <v>1150</v>
      </c>
      <c r="B103" t="str">
        <f>TEXT(Table1[[#This Row],[Date]], "mmm")</f>
        <v>Feb</v>
      </c>
      <c r="C103" t="s">
        <v>85</v>
      </c>
      <c r="D103" t="s">
        <v>17</v>
      </c>
      <c r="E103" t="s">
        <v>25</v>
      </c>
      <c r="F103" t="s">
        <v>11</v>
      </c>
      <c r="G103">
        <v>10</v>
      </c>
      <c r="H103">
        <v>30000</v>
      </c>
      <c r="I103">
        <v>300000</v>
      </c>
      <c r="J103">
        <f>Table1[[#This Row],[Revenue]]*12</f>
        <v>3600000</v>
      </c>
      <c r="L103" s="4"/>
    </row>
    <row r="104" spans="1:12" x14ac:dyDescent="0.35">
      <c r="A104">
        <v>1104</v>
      </c>
      <c r="B104" t="str">
        <f>TEXT(Table1[[#This Row],[Date]], "mmm")</f>
        <v>Feb</v>
      </c>
      <c r="C104" t="s">
        <v>85</v>
      </c>
      <c r="D104" t="s">
        <v>31</v>
      </c>
      <c r="E104" t="s">
        <v>14</v>
      </c>
      <c r="F104" t="s">
        <v>15</v>
      </c>
      <c r="G104">
        <v>7</v>
      </c>
      <c r="H104">
        <v>50000</v>
      </c>
      <c r="I104">
        <v>350000</v>
      </c>
      <c r="J104">
        <f>Table1[[#This Row],[Revenue]]*12</f>
        <v>4200000</v>
      </c>
      <c r="L104" s="4"/>
    </row>
    <row r="105" spans="1:12" x14ac:dyDescent="0.35">
      <c r="A105">
        <v>1118</v>
      </c>
      <c r="B105" t="str">
        <f>TEXT(Table1[[#This Row],[Date]], "mmm")</f>
        <v>Feb</v>
      </c>
      <c r="C105" t="s">
        <v>55</v>
      </c>
      <c r="D105" t="s">
        <v>17</v>
      </c>
      <c r="E105" t="s">
        <v>27</v>
      </c>
      <c r="F105" t="s">
        <v>15</v>
      </c>
      <c r="G105">
        <v>9</v>
      </c>
      <c r="H105">
        <v>800</v>
      </c>
      <c r="I105">
        <v>7200</v>
      </c>
      <c r="J105">
        <f>Table1[[#This Row],[Revenue]]*12</f>
        <v>86400</v>
      </c>
      <c r="L105" s="4"/>
    </row>
    <row r="106" spans="1:12" x14ac:dyDescent="0.35">
      <c r="A106">
        <v>1195</v>
      </c>
      <c r="B106" t="str">
        <f>TEXT(Table1[[#This Row],[Date]], "mmm")</f>
        <v>Feb</v>
      </c>
      <c r="C106" t="s">
        <v>55</v>
      </c>
      <c r="D106" t="s">
        <v>9</v>
      </c>
      <c r="E106" t="s">
        <v>20</v>
      </c>
      <c r="F106" t="s">
        <v>15</v>
      </c>
      <c r="G106">
        <v>3</v>
      </c>
      <c r="H106">
        <v>2000</v>
      </c>
      <c r="I106">
        <v>6000</v>
      </c>
      <c r="J106">
        <f>Table1[[#This Row],[Revenue]]*12</f>
        <v>72000</v>
      </c>
      <c r="L106" s="4"/>
    </row>
    <row r="107" spans="1:12" x14ac:dyDescent="0.35">
      <c r="A107">
        <v>1108</v>
      </c>
      <c r="B107" t="str">
        <f>TEXT(Table1[[#This Row],[Date]], "mmm")</f>
        <v>Feb</v>
      </c>
      <c r="C107" t="s">
        <v>55</v>
      </c>
      <c r="D107" t="s">
        <v>17</v>
      </c>
      <c r="E107" t="s">
        <v>45</v>
      </c>
      <c r="F107" t="s">
        <v>11</v>
      </c>
      <c r="G107">
        <v>5</v>
      </c>
      <c r="H107">
        <v>7000</v>
      </c>
      <c r="I107">
        <v>35000</v>
      </c>
      <c r="J107">
        <f>Table1[[#This Row],[Revenue]]*12</f>
        <v>420000</v>
      </c>
      <c r="L107" s="4"/>
    </row>
    <row r="108" spans="1:12" x14ac:dyDescent="0.35">
      <c r="A108">
        <v>1044</v>
      </c>
      <c r="B108" t="str">
        <f>TEXT(Table1[[#This Row],[Date]], "mmm")</f>
        <v>Feb</v>
      </c>
      <c r="C108" t="s">
        <v>55</v>
      </c>
      <c r="D108" t="s">
        <v>13</v>
      </c>
      <c r="E108" t="s">
        <v>25</v>
      </c>
      <c r="F108" t="s">
        <v>11</v>
      </c>
      <c r="G108">
        <v>6</v>
      </c>
      <c r="H108">
        <v>30000</v>
      </c>
      <c r="I108">
        <v>180000</v>
      </c>
      <c r="J108">
        <f>Table1[[#This Row],[Revenue]]*12</f>
        <v>2160000</v>
      </c>
      <c r="L108" s="4"/>
    </row>
    <row r="109" spans="1:12" x14ac:dyDescent="0.35">
      <c r="A109">
        <v>1133</v>
      </c>
      <c r="B109" t="str">
        <f>TEXT(Table1[[#This Row],[Date]], "mmm")</f>
        <v>Feb</v>
      </c>
      <c r="C109" t="s">
        <v>79</v>
      </c>
      <c r="D109" t="s">
        <v>31</v>
      </c>
      <c r="E109" t="s">
        <v>23</v>
      </c>
      <c r="F109" t="s">
        <v>15</v>
      </c>
      <c r="G109">
        <v>8</v>
      </c>
      <c r="H109">
        <v>10000</v>
      </c>
      <c r="I109">
        <v>80000</v>
      </c>
      <c r="J109">
        <f>Table1[[#This Row],[Revenue]]*12</f>
        <v>960000</v>
      </c>
      <c r="L109" s="4"/>
    </row>
    <row r="110" spans="1:12" x14ac:dyDescent="0.35">
      <c r="A110">
        <v>1095</v>
      </c>
      <c r="B110" t="str">
        <f>TEXT(Table1[[#This Row],[Date]], "mmm")</f>
        <v>Feb</v>
      </c>
      <c r="C110" t="s">
        <v>79</v>
      </c>
      <c r="D110" t="s">
        <v>13</v>
      </c>
      <c r="E110" t="s">
        <v>10</v>
      </c>
      <c r="F110" t="s">
        <v>11</v>
      </c>
      <c r="G110">
        <v>8</v>
      </c>
      <c r="H110">
        <v>25000</v>
      </c>
      <c r="I110">
        <v>200000</v>
      </c>
      <c r="J110">
        <f>Table1[[#This Row],[Revenue]]*12</f>
        <v>2400000</v>
      </c>
      <c r="L110" s="4"/>
    </row>
    <row r="111" spans="1:12" x14ac:dyDescent="0.35">
      <c r="A111">
        <v>1079</v>
      </c>
      <c r="B111" t="str">
        <f>TEXT(Table1[[#This Row],[Date]], "mmm")</f>
        <v>Feb</v>
      </c>
      <c r="C111" t="s">
        <v>71</v>
      </c>
      <c r="D111" t="s">
        <v>9</v>
      </c>
      <c r="E111" t="s">
        <v>18</v>
      </c>
      <c r="F111" t="s">
        <v>11</v>
      </c>
      <c r="G111">
        <v>8</v>
      </c>
      <c r="H111">
        <v>2000</v>
      </c>
      <c r="I111">
        <v>16000</v>
      </c>
      <c r="J111">
        <f>Table1[[#This Row],[Revenue]]*12</f>
        <v>192000</v>
      </c>
      <c r="L111" s="4"/>
    </row>
    <row r="112" spans="1:12" x14ac:dyDescent="0.35">
      <c r="A112">
        <v>1149</v>
      </c>
      <c r="B112" t="str">
        <f>TEXT(Table1[[#This Row],[Date]], "mmm")</f>
        <v>Feb</v>
      </c>
      <c r="C112" t="s">
        <v>97</v>
      </c>
      <c r="D112" t="s">
        <v>17</v>
      </c>
      <c r="E112" t="s">
        <v>25</v>
      </c>
      <c r="F112" t="s">
        <v>11</v>
      </c>
      <c r="G112">
        <v>1</v>
      </c>
      <c r="H112">
        <v>30000</v>
      </c>
      <c r="I112">
        <v>30000</v>
      </c>
      <c r="J112">
        <f>Table1[[#This Row],[Revenue]]*12</f>
        <v>360000</v>
      </c>
      <c r="L112" s="4"/>
    </row>
    <row r="113" spans="1:12" x14ac:dyDescent="0.35">
      <c r="A113">
        <v>1091</v>
      </c>
      <c r="B113" t="str">
        <f>TEXT(Table1[[#This Row],[Date]], "mmm")</f>
        <v>Feb</v>
      </c>
      <c r="C113" t="s">
        <v>76</v>
      </c>
      <c r="D113" t="s">
        <v>9</v>
      </c>
      <c r="E113" t="s">
        <v>14</v>
      </c>
      <c r="F113" t="s">
        <v>15</v>
      </c>
      <c r="G113">
        <v>4</v>
      </c>
      <c r="H113">
        <v>50000</v>
      </c>
      <c r="I113">
        <v>200000</v>
      </c>
      <c r="J113">
        <f>Table1[[#This Row],[Revenue]]*12</f>
        <v>2400000</v>
      </c>
      <c r="L113" s="4"/>
    </row>
    <row r="114" spans="1:12" x14ac:dyDescent="0.35">
      <c r="A114">
        <v>1038</v>
      </c>
      <c r="B114" t="str">
        <f>TEXT(Table1[[#This Row],[Date]], "mmm")</f>
        <v>Feb</v>
      </c>
      <c r="C114" t="s">
        <v>50</v>
      </c>
      <c r="D114" t="s">
        <v>31</v>
      </c>
      <c r="E114" t="s">
        <v>25</v>
      </c>
      <c r="F114" t="s">
        <v>11</v>
      </c>
      <c r="G114">
        <v>4</v>
      </c>
      <c r="H114">
        <v>30000</v>
      </c>
      <c r="I114">
        <v>120000</v>
      </c>
      <c r="J114">
        <f>Table1[[#This Row],[Revenue]]*12</f>
        <v>1440000</v>
      </c>
      <c r="L114" s="4"/>
    </row>
    <row r="115" spans="1:12" x14ac:dyDescent="0.35">
      <c r="A115">
        <v>1060</v>
      </c>
      <c r="B115" t="str">
        <f>TEXT(Table1[[#This Row],[Date]], "mmm")</f>
        <v>Feb</v>
      </c>
      <c r="C115" t="s">
        <v>50</v>
      </c>
      <c r="D115" t="s">
        <v>17</v>
      </c>
      <c r="E115" t="s">
        <v>23</v>
      </c>
      <c r="F115" t="s">
        <v>15</v>
      </c>
      <c r="G115">
        <v>9</v>
      </c>
      <c r="H115">
        <v>10000</v>
      </c>
      <c r="I115">
        <v>90000</v>
      </c>
      <c r="J115">
        <f>Table1[[#This Row],[Revenue]]*12</f>
        <v>1080000</v>
      </c>
      <c r="L115" s="4"/>
    </row>
    <row r="116" spans="1:12" x14ac:dyDescent="0.35">
      <c r="A116">
        <v>1124</v>
      </c>
      <c r="B116" t="str">
        <f>TEXT(Table1[[#This Row],[Date]], "mmm")</f>
        <v>Feb</v>
      </c>
      <c r="C116" t="s">
        <v>50</v>
      </c>
      <c r="D116" t="s">
        <v>13</v>
      </c>
      <c r="E116" t="s">
        <v>20</v>
      </c>
      <c r="F116" t="s">
        <v>15</v>
      </c>
      <c r="G116">
        <v>4</v>
      </c>
      <c r="H116">
        <v>2000</v>
      </c>
      <c r="I116">
        <v>8000</v>
      </c>
      <c r="J116">
        <f>Table1[[#This Row],[Revenue]]*12</f>
        <v>96000</v>
      </c>
      <c r="L116" s="4"/>
    </row>
    <row r="117" spans="1:12" x14ac:dyDescent="0.35">
      <c r="A117">
        <v>1048</v>
      </c>
      <c r="B117" t="str">
        <f>TEXT(Table1[[#This Row],[Date]], "mmm")</f>
        <v>Feb</v>
      </c>
      <c r="C117" t="s">
        <v>56</v>
      </c>
      <c r="D117" t="s">
        <v>9</v>
      </c>
      <c r="E117" t="s">
        <v>23</v>
      </c>
      <c r="F117" t="s">
        <v>15</v>
      </c>
      <c r="G117">
        <v>3</v>
      </c>
      <c r="H117">
        <v>10000</v>
      </c>
      <c r="I117">
        <v>30000</v>
      </c>
      <c r="J117">
        <f>Table1[[#This Row],[Revenue]]*12</f>
        <v>360000</v>
      </c>
      <c r="L117" s="4"/>
    </row>
    <row r="118" spans="1:12" x14ac:dyDescent="0.35">
      <c r="A118">
        <v>1047</v>
      </c>
      <c r="B118" t="str">
        <f>TEXT(Table1[[#This Row],[Date]], "mmm")</f>
        <v>Feb</v>
      </c>
      <c r="C118" t="s">
        <v>56</v>
      </c>
      <c r="D118" t="s">
        <v>13</v>
      </c>
      <c r="E118" t="s">
        <v>18</v>
      </c>
      <c r="F118" t="s">
        <v>11</v>
      </c>
      <c r="G118">
        <v>5</v>
      </c>
      <c r="H118">
        <v>2000</v>
      </c>
      <c r="I118">
        <v>10000</v>
      </c>
      <c r="J118">
        <f>Table1[[#This Row],[Revenue]]*12</f>
        <v>120000</v>
      </c>
      <c r="L118" s="4"/>
    </row>
    <row r="119" spans="1:12" x14ac:dyDescent="0.35">
      <c r="A119">
        <v>1103</v>
      </c>
      <c r="B119" t="str">
        <f>TEXT(Table1[[#This Row],[Date]], "mmm")</f>
        <v>Feb</v>
      </c>
      <c r="C119" t="s">
        <v>56</v>
      </c>
      <c r="D119" t="s">
        <v>13</v>
      </c>
      <c r="E119" t="s">
        <v>27</v>
      </c>
      <c r="F119" t="s">
        <v>15</v>
      </c>
      <c r="G119">
        <v>7</v>
      </c>
      <c r="H119">
        <v>800</v>
      </c>
      <c r="I119">
        <v>5600</v>
      </c>
      <c r="J119">
        <f>Table1[[#This Row],[Revenue]]*12</f>
        <v>67200</v>
      </c>
      <c r="L119" s="4"/>
    </row>
    <row r="120" spans="1:12" x14ac:dyDescent="0.35">
      <c r="A120">
        <v>1166</v>
      </c>
      <c r="B120" t="str">
        <f>TEXT(Table1[[#This Row],[Date]], "mmm")</f>
        <v>Feb</v>
      </c>
      <c r="C120" t="s">
        <v>56</v>
      </c>
      <c r="D120" t="s">
        <v>17</v>
      </c>
      <c r="E120" t="s">
        <v>25</v>
      </c>
      <c r="F120" t="s">
        <v>11</v>
      </c>
      <c r="G120">
        <v>7</v>
      </c>
      <c r="H120">
        <v>30000</v>
      </c>
      <c r="I120">
        <v>210000</v>
      </c>
      <c r="J120">
        <f>Table1[[#This Row],[Revenue]]*12</f>
        <v>2520000</v>
      </c>
      <c r="L120" s="4"/>
    </row>
    <row r="121" spans="1:12" x14ac:dyDescent="0.35">
      <c r="A121">
        <v>1064</v>
      </c>
      <c r="B121" t="str">
        <f>TEXT(Table1[[#This Row],[Date]], "mmm")</f>
        <v>Feb</v>
      </c>
      <c r="C121" t="s">
        <v>39</v>
      </c>
      <c r="D121" t="s">
        <v>13</v>
      </c>
      <c r="E121" t="s">
        <v>10</v>
      </c>
      <c r="F121" t="s">
        <v>11</v>
      </c>
      <c r="G121">
        <v>9</v>
      </c>
      <c r="H121">
        <v>25000</v>
      </c>
      <c r="I121">
        <v>225000</v>
      </c>
      <c r="J121">
        <f>Table1[[#This Row],[Revenue]]*12</f>
        <v>2700000</v>
      </c>
      <c r="L121" s="4"/>
    </row>
    <row r="122" spans="1:12" x14ac:dyDescent="0.35">
      <c r="A122">
        <v>1196</v>
      </c>
      <c r="B122" t="str">
        <f>TEXT(Table1[[#This Row],[Date]], "mmm")</f>
        <v>Feb</v>
      </c>
      <c r="C122" t="s">
        <v>39</v>
      </c>
      <c r="D122" t="s">
        <v>9</v>
      </c>
      <c r="E122" t="s">
        <v>27</v>
      </c>
      <c r="F122" t="s">
        <v>15</v>
      </c>
      <c r="G122">
        <v>4</v>
      </c>
      <c r="H122">
        <v>800</v>
      </c>
      <c r="I122">
        <v>3200</v>
      </c>
      <c r="J122">
        <f>Table1[[#This Row],[Revenue]]*12</f>
        <v>38400</v>
      </c>
      <c r="L122" s="4"/>
    </row>
    <row r="123" spans="1:12" x14ac:dyDescent="0.35">
      <c r="A123">
        <v>1025</v>
      </c>
      <c r="B123" t="str">
        <f>TEXT(Table1[[#This Row],[Date]], "mmm")</f>
        <v>Feb</v>
      </c>
      <c r="C123" t="s">
        <v>39</v>
      </c>
      <c r="D123" t="s">
        <v>13</v>
      </c>
      <c r="E123" t="s">
        <v>27</v>
      </c>
      <c r="F123" t="s">
        <v>15</v>
      </c>
      <c r="G123">
        <v>7</v>
      </c>
      <c r="H123">
        <v>800</v>
      </c>
      <c r="I123">
        <v>5600</v>
      </c>
      <c r="J123">
        <f>Table1[[#This Row],[Revenue]]*12</f>
        <v>67200</v>
      </c>
      <c r="L123" s="4"/>
    </row>
    <row r="124" spans="1:12" x14ac:dyDescent="0.35">
      <c r="A124">
        <v>1070</v>
      </c>
      <c r="B124" t="str">
        <f>TEXT(Table1[[#This Row],[Date]], "mmm")</f>
        <v>Feb</v>
      </c>
      <c r="C124" t="s">
        <v>67</v>
      </c>
      <c r="D124" t="s">
        <v>13</v>
      </c>
      <c r="E124" t="s">
        <v>25</v>
      </c>
      <c r="F124" t="s">
        <v>11</v>
      </c>
      <c r="G124">
        <v>7</v>
      </c>
      <c r="H124">
        <v>30000</v>
      </c>
      <c r="I124">
        <v>210000</v>
      </c>
      <c r="J124">
        <f>Table1[[#This Row],[Revenue]]*12</f>
        <v>2520000</v>
      </c>
      <c r="L124" s="4"/>
    </row>
    <row r="125" spans="1:12" x14ac:dyDescent="0.35">
      <c r="A125">
        <v>1178</v>
      </c>
      <c r="B125" t="str">
        <f>TEXT(Table1[[#This Row],[Date]], "mmm")</f>
        <v>Feb</v>
      </c>
      <c r="C125" t="s">
        <v>67</v>
      </c>
      <c r="D125" t="s">
        <v>17</v>
      </c>
      <c r="E125" t="s">
        <v>10</v>
      </c>
      <c r="F125" t="s">
        <v>11</v>
      </c>
      <c r="G125">
        <v>6</v>
      </c>
      <c r="H125">
        <v>25000</v>
      </c>
      <c r="I125">
        <v>150000</v>
      </c>
      <c r="J125">
        <f>Table1[[#This Row],[Revenue]]*12</f>
        <v>1800000</v>
      </c>
      <c r="L125" s="4"/>
    </row>
    <row r="126" spans="1:12" x14ac:dyDescent="0.35">
      <c r="A126">
        <v>1155</v>
      </c>
      <c r="B126" t="str">
        <f>TEXT(Table1[[#This Row],[Date]], "mmm")</f>
        <v>Feb</v>
      </c>
      <c r="C126" t="s">
        <v>91</v>
      </c>
      <c r="D126" t="s">
        <v>17</v>
      </c>
      <c r="E126" t="s">
        <v>27</v>
      </c>
      <c r="F126" t="s">
        <v>15</v>
      </c>
      <c r="G126">
        <v>2</v>
      </c>
      <c r="H126">
        <v>800</v>
      </c>
      <c r="I126">
        <v>1600</v>
      </c>
      <c r="J126">
        <f>Table1[[#This Row],[Revenue]]*12</f>
        <v>19200</v>
      </c>
      <c r="L126" s="4"/>
    </row>
    <row r="127" spans="1:12" x14ac:dyDescent="0.35">
      <c r="A127">
        <v>1132</v>
      </c>
      <c r="B127" t="str">
        <f>TEXT(Table1[[#This Row],[Date]], "mmm")</f>
        <v>Feb</v>
      </c>
      <c r="C127" t="s">
        <v>91</v>
      </c>
      <c r="D127" t="s">
        <v>13</v>
      </c>
      <c r="E127" t="s">
        <v>27</v>
      </c>
      <c r="F127" t="s">
        <v>15</v>
      </c>
      <c r="G127">
        <v>9</v>
      </c>
      <c r="H127">
        <v>800</v>
      </c>
      <c r="I127">
        <v>7200</v>
      </c>
      <c r="J127">
        <f>Table1[[#This Row],[Revenue]]*12</f>
        <v>86400</v>
      </c>
      <c r="L127" s="4"/>
    </row>
    <row r="128" spans="1:12" x14ac:dyDescent="0.35">
      <c r="A128">
        <v>1165</v>
      </c>
      <c r="B128" t="str">
        <f>TEXT(Table1[[#This Row],[Date]], "mmm")</f>
        <v>Feb</v>
      </c>
      <c r="C128" t="s">
        <v>99</v>
      </c>
      <c r="D128" t="s">
        <v>17</v>
      </c>
      <c r="E128" t="s">
        <v>23</v>
      </c>
      <c r="F128" t="s">
        <v>15</v>
      </c>
      <c r="G128">
        <v>5</v>
      </c>
      <c r="H128">
        <v>10000</v>
      </c>
      <c r="I128">
        <v>50000</v>
      </c>
      <c r="J128">
        <f>Table1[[#This Row],[Revenue]]*12</f>
        <v>600000</v>
      </c>
      <c r="L128" s="4"/>
    </row>
    <row r="129" spans="1:12" x14ac:dyDescent="0.35">
      <c r="A129">
        <v>1174</v>
      </c>
      <c r="B129" t="str">
        <f>TEXT(Table1[[#This Row],[Date]], "mmm")</f>
        <v>Feb</v>
      </c>
      <c r="C129" t="s">
        <v>99</v>
      </c>
      <c r="D129" t="s">
        <v>17</v>
      </c>
      <c r="E129" t="s">
        <v>14</v>
      </c>
      <c r="F129" t="s">
        <v>15</v>
      </c>
      <c r="G129">
        <v>6</v>
      </c>
      <c r="H129">
        <v>50000</v>
      </c>
      <c r="I129">
        <v>300000</v>
      </c>
      <c r="J129">
        <f>Table1[[#This Row],[Revenue]]*12</f>
        <v>3600000</v>
      </c>
      <c r="L129" s="4"/>
    </row>
    <row r="130" spans="1:12" x14ac:dyDescent="0.35">
      <c r="A130">
        <v>1030</v>
      </c>
      <c r="B130" t="str">
        <f>TEXT(Table1[[#This Row],[Date]], "mmm")</f>
        <v>Feb</v>
      </c>
      <c r="C130" t="s">
        <v>44</v>
      </c>
      <c r="D130" t="s">
        <v>13</v>
      </c>
      <c r="E130" t="s">
        <v>45</v>
      </c>
      <c r="F130" t="s">
        <v>11</v>
      </c>
      <c r="G130">
        <v>1</v>
      </c>
      <c r="H130">
        <v>7000</v>
      </c>
      <c r="I130">
        <v>7000</v>
      </c>
      <c r="J130">
        <f>Table1[[#This Row],[Revenue]]*12</f>
        <v>84000</v>
      </c>
      <c r="L130" s="4"/>
    </row>
    <row r="131" spans="1:12" x14ac:dyDescent="0.35">
      <c r="A131">
        <v>1034</v>
      </c>
      <c r="B131" t="str">
        <f>TEXT(Table1[[#This Row],[Date]], "mmm")</f>
        <v>Feb</v>
      </c>
      <c r="C131" t="s">
        <v>44</v>
      </c>
      <c r="D131" t="s">
        <v>13</v>
      </c>
      <c r="E131" t="s">
        <v>10</v>
      </c>
      <c r="F131" t="s">
        <v>11</v>
      </c>
      <c r="G131">
        <v>8</v>
      </c>
      <c r="H131">
        <v>25000</v>
      </c>
      <c r="I131">
        <v>200000</v>
      </c>
      <c r="J131">
        <f>Table1[[#This Row],[Revenue]]*12</f>
        <v>2400000</v>
      </c>
      <c r="L131" s="4"/>
    </row>
    <row r="132" spans="1:12" x14ac:dyDescent="0.35">
      <c r="A132">
        <v>1052</v>
      </c>
      <c r="B132" t="str">
        <f>TEXT(Table1[[#This Row],[Date]], "mmm")</f>
        <v>Feb</v>
      </c>
      <c r="C132" t="s">
        <v>44</v>
      </c>
      <c r="D132" t="s">
        <v>31</v>
      </c>
      <c r="E132" t="s">
        <v>10</v>
      </c>
      <c r="F132" t="s">
        <v>11</v>
      </c>
      <c r="G132">
        <v>7</v>
      </c>
      <c r="H132">
        <v>25000</v>
      </c>
      <c r="I132">
        <v>175000</v>
      </c>
      <c r="J132">
        <f>Table1[[#This Row],[Revenue]]*12</f>
        <v>2100000</v>
      </c>
      <c r="L132" s="4"/>
    </row>
    <row r="133" spans="1:12" x14ac:dyDescent="0.35">
      <c r="A133">
        <v>1138</v>
      </c>
      <c r="B133" t="str">
        <f>TEXT(Table1[[#This Row],[Date]], "mmm")</f>
        <v>Feb</v>
      </c>
      <c r="C133" t="s">
        <v>44</v>
      </c>
      <c r="D133" t="s">
        <v>9</v>
      </c>
      <c r="E133" t="s">
        <v>27</v>
      </c>
      <c r="F133" t="s">
        <v>15</v>
      </c>
      <c r="G133">
        <v>10</v>
      </c>
      <c r="H133">
        <v>800</v>
      </c>
      <c r="I133">
        <v>8000</v>
      </c>
      <c r="J133">
        <f>Table1[[#This Row],[Revenue]]*12</f>
        <v>96000</v>
      </c>
      <c r="L133" s="4"/>
    </row>
    <row r="134" spans="1:12" x14ac:dyDescent="0.35">
      <c r="A134">
        <v>1080</v>
      </c>
      <c r="B134" t="str">
        <f>TEXT(Table1[[#This Row],[Date]], "mmm")</f>
        <v>Feb</v>
      </c>
      <c r="C134" t="s">
        <v>68</v>
      </c>
      <c r="D134" t="s">
        <v>17</v>
      </c>
      <c r="E134" t="s">
        <v>14</v>
      </c>
      <c r="F134" t="s">
        <v>15</v>
      </c>
      <c r="G134">
        <v>9</v>
      </c>
      <c r="H134">
        <v>50000</v>
      </c>
      <c r="I134">
        <v>450000</v>
      </c>
      <c r="J134">
        <f>Table1[[#This Row],[Revenue]]*12</f>
        <v>5400000</v>
      </c>
      <c r="L134" s="4"/>
    </row>
    <row r="135" spans="1:12" x14ac:dyDescent="0.35">
      <c r="A135">
        <v>1105</v>
      </c>
      <c r="B135" t="str">
        <f>TEXT(Table1[[#This Row],[Date]], "mmm")</f>
        <v>Feb</v>
      </c>
      <c r="C135" t="s">
        <v>68</v>
      </c>
      <c r="D135" t="s">
        <v>9</v>
      </c>
      <c r="E135" t="s">
        <v>32</v>
      </c>
      <c r="F135" t="s">
        <v>15</v>
      </c>
      <c r="G135">
        <v>5</v>
      </c>
      <c r="H135">
        <v>1500</v>
      </c>
      <c r="I135">
        <v>7500</v>
      </c>
      <c r="J135">
        <f>Table1[[#This Row],[Revenue]]*12</f>
        <v>90000</v>
      </c>
      <c r="L135" s="4"/>
    </row>
    <row r="136" spans="1:12" x14ac:dyDescent="0.35">
      <c r="A136">
        <v>1072</v>
      </c>
      <c r="B136" t="str">
        <f>TEXT(Table1[[#This Row],[Date]], "mmm")</f>
        <v>Feb</v>
      </c>
      <c r="C136" t="s">
        <v>68</v>
      </c>
      <c r="D136" t="s">
        <v>13</v>
      </c>
      <c r="E136" t="s">
        <v>23</v>
      </c>
      <c r="F136" t="s">
        <v>15</v>
      </c>
      <c r="G136">
        <v>8</v>
      </c>
      <c r="H136">
        <v>10000</v>
      </c>
      <c r="I136">
        <v>80000</v>
      </c>
      <c r="J136">
        <f>Table1[[#This Row],[Revenue]]*12</f>
        <v>960000</v>
      </c>
      <c r="L136" s="4"/>
    </row>
    <row r="137" spans="1:12" x14ac:dyDescent="0.35">
      <c r="A137">
        <v>1176</v>
      </c>
      <c r="B137" t="str">
        <f>TEXT(Table1[[#This Row],[Date]], "mmm")</f>
        <v>Feb</v>
      </c>
      <c r="C137" t="s">
        <v>24</v>
      </c>
      <c r="D137" t="s">
        <v>9</v>
      </c>
      <c r="E137" t="s">
        <v>25</v>
      </c>
      <c r="F137" t="s">
        <v>11</v>
      </c>
      <c r="G137">
        <v>1</v>
      </c>
      <c r="H137">
        <v>30000</v>
      </c>
      <c r="I137">
        <v>30000</v>
      </c>
      <c r="J137">
        <f>Table1[[#This Row],[Revenue]]*12</f>
        <v>360000</v>
      </c>
      <c r="L137" s="4"/>
    </row>
    <row r="138" spans="1:12" x14ac:dyDescent="0.35">
      <c r="A138">
        <v>1121</v>
      </c>
      <c r="B138" t="str">
        <f>TEXT(Table1[[#This Row],[Date]], "mmm")</f>
        <v>Feb</v>
      </c>
      <c r="C138" t="s">
        <v>24</v>
      </c>
      <c r="D138" t="s">
        <v>9</v>
      </c>
      <c r="E138" t="s">
        <v>25</v>
      </c>
      <c r="F138" t="s">
        <v>11</v>
      </c>
      <c r="G138">
        <v>8</v>
      </c>
      <c r="H138">
        <v>30000</v>
      </c>
      <c r="I138">
        <v>240000</v>
      </c>
      <c r="J138">
        <f>Table1[[#This Row],[Revenue]]*12</f>
        <v>2880000</v>
      </c>
      <c r="L138" s="4"/>
    </row>
    <row r="139" spans="1:12" x14ac:dyDescent="0.35">
      <c r="A139">
        <v>1007</v>
      </c>
      <c r="B139" t="str">
        <f>TEXT(Table1[[#This Row],[Date]], "mmm")</f>
        <v>Feb</v>
      </c>
      <c r="C139" t="s">
        <v>24</v>
      </c>
      <c r="D139" t="s">
        <v>17</v>
      </c>
      <c r="E139" t="s">
        <v>25</v>
      </c>
      <c r="F139" t="s">
        <v>11</v>
      </c>
      <c r="G139">
        <v>4</v>
      </c>
      <c r="H139">
        <v>30000</v>
      </c>
      <c r="I139">
        <v>120000</v>
      </c>
      <c r="J139">
        <f>Table1[[#This Row],[Revenue]]*12</f>
        <v>1440000</v>
      </c>
      <c r="L139" s="4"/>
    </row>
    <row r="140" spans="1:12" x14ac:dyDescent="0.35">
      <c r="A140">
        <v>1085</v>
      </c>
      <c r="B140" t="str">
        <f>TEXT(Table1[[#This Row],[Date]], "mmm")</f>
        <v>Feb</v>
      </c>
      <c r="C140" t="s">
        <v>24</v>
      </c>
      <c r="D140" t="s">
        <v>17</v>
      </c>
      <c r="E140" t="s">
        <v>14</v>
      </c>
      <c r="F140" t="s">
        <v>15</v>
      </c>
      <c r="G140">
        <v>7</v>
      </c>
      <c r="H140">
        <v>50000</v>
      </c>
      <c r="I140">
        <v>350000</v>
      </c>
      <c r="J140">
        <f>Table1[[#This Row],[Revenue]]*12</f>
        <v>4200000</v>
      </c>
      <c r="L140" s="4"/>
    </row>
    <row r="141" spans="1:12" x14ac:dyDescent="0.35">
      <c r="A141">
        <v>1022</v>
      </c>
      <c r="B141" t="str">
        <f>TEXT(Table1[[#This Row],[Date]], "mmm")</f>
        <v>Feb</v>
      </c>
      <c r="C141" t="s">
        <v>24</v>
      </c>
      <c r="D141" t="s">
        <v>31</v>
      </c>
      <c r="E141" t="s">
        <v>23</v>
      </c>
      <c r="F141" t="s">
        <v>15</v>
      </c>
      <c r="G141">
        <v>1</v>
      </c>
      <c r="H141">
        <v>10000</v>
      </c>
      <c r="I141">
        <v>10000</v>
      </c>
      <c r="J141">
        <f>Table1[[#This Row],[Revenue]]*12</f>
        <v>120000</v>
      </c>
      <c r="L141" s="4"/>
    </row>
    <row r="142" spans="1:12" x14ac:dyDescent="0.35">
      <c r="A142">
        <v>1117</v>
      </c>
      <c r="B142" t="str">
        <f>TEXT(Table1[[#This Row],[Date]], "mmm")</f>
        <v>Feb</v>
      </c>
      <c r="C142" t="s">
        <v>88</v>
      </c>
      <c r="D142" t="s">
        <v>9</v>
      </c>
      <c r="E142" t="s">
        <v>10</v>
      </c>
      <c r="F142" t="s">
        <v>11</v>
      </c>
      <c r="G142">
        <v>5</v>
      </c>
      <c r="H142">
        <v>25000</v>
      </c>
      <c r="I142">
        <v>125000</v>
      </c>
      <c r="J142">
        <f>Table1[[#This Row],[Revenue]]*12</f>
        <v>1500000</v>
      </c>
      <c r="L142" s="4"/>
    </row>
    <row r="143" spans="1:12" x14ac:dyDescent="0.35">
      <c r="A143">
        <v>1188</v>
      </c>
      <c r="B143" t="str">
        <f>TEXT(Table1[[#This Row],[Date]], "mmm")</f>
        <v>Feb</v>
      </c>
      <c r="C143" t="s">
        <v>88</v>
      </c>
      <c r="D143" t="s">
        <v>31</v>
      </c>
      <c r="E143" t="s">
        <v>10</v>
      </c>
      <c r="F143" t="s">
        <v>11</v>
      </c>
      <c r="G143">
        <v>6</v>
      </c>
      <c r="H143">
        <v>25000</v>
      </c>
      <c r="I143">
        <v>150000</v>
      </c>
      <c r="J143">
        <f>Table1[[#This Row],[Revenue]]*12</f>
        <v>1800000</v>
      </c>
      <c r="L143" s="4"/>
    </row>
    <row r="144" spans="1:12" x14ac:dyDescent="0.35">
      <c r="A144">
        <v>1143</v>
      </c>
      <c r="B144" t="str">
        <f>TEXT(Table1[[#This Row],[Date]], "mmm")</f>
        <v>Mar</v>
      </c>
      <c r="C144" t="s">
        <v>95</v>
      </c>
      <c r="D144" t="s">
        <v>31</v>
      </c>
      <c r="E144" t="s">
        <v>14</v>
      </c>
      <c r="F144" t="s">
        <v>15</v>
      </c>
      <c r="G144">
        <v>10</v>
      </c>
      <c r="H144">
        <v>50000</v>
      </c>
      <c r="I144">
        <v>500000</v>
      </c>
      <c r="J144">
        <f>Table1[[#This Row],[Revenue]]*12</f>
        <v>6000000</v>
      </c>
      <c r="L144" s="4"/>
    </row>
    <row r="145" spans="1:12" x14ac:dyDescent="0.35">
      <c r="A145">
        <v>1066</v>
      </c>
      <c r="B145" t="str">
        <f>TEXT(Table1[[#This Row],[Date]], "mmm")</f>
        <v>Mar</v>
      </c>
      <c r="C145" t="s">
        <v>64</v>
      </c>
      <c r="D145" t="s">
        <v>17</v>
      </c>
      <c r="E145" t="s">
        <v>32</v>
      </c>
      <c r="F145" t="s">
        <v>15</v>
      </c>
      <c r="G145">
        <v>10</v>
      </c>
      <c r="H145">
        <v>1500</v>
      </c>
      <c r="I145">
        <v>15000</v>
      </c>
      <c r="J145">
        <f>Table1[[#This Row],[Revenue]]*12</f>
        <v>180000</v>
      </c>
      <c r="L145" s="4"/>
    </row>
    <row r="146" spans="1:12" x14ac:dyDescent="0.35">
      <c r="A146">
        <v>1125</v>
      </c>
      <c r="B146" t="str">
        <f>TEXT(Table1[[#This Row],[Date]], "mmm")</f>
        <v>Mar</v>
      </c>
      <c r="C146" t="s">
        <v>90</v>
      </c>
      <c r="D146" t="s">
        <v>17</v>
      </c>
      <c r="E146" t="s">
        <v>25</v>
      </c>
      <c r="F146" t="s">
        <v>11</v>
      </c>
      <c r="G146">
        <v>4</v>
      </c>
      <c r="H146">
        <v>30000</v>
      </c>
      <c r="I146">
        <v>120000</v>
      </c>
      <c r="J146">
        <f>Table1[[#This Row],[Revenue]]*12</f>
        <v>1440000</v>
      </c>
      <c r="L146" s="4"/>
    </row>
    <row r="147" spans="1:12" x14ac:dyDescent="0.35">
      <c r="A147">
        <v>1193</v>
      </c>
      <c r="B147" t="str">
        <f>TEXT(Table1[[#This Row],[Date]], "mmm")</f>
        <v>Mar</v>
      </c>
      <c r="C147" t="s">
        <v>35</v>
      </c>
      <c r="D147" t="s">
        <v>9</v>
      </c>
      <c r="E147" t="s">
        <v>18</v>
      </c>
      <c r="F147" t="s">
        <v>11</v>
      </c>
      <c r="G147">
        <v>4</v>
      </c>
      <c r="H147">
        <v>2000</v>
      </c>
      <c r="I147">
        <v>8000</v>
      </c>
      <c r="J147">
        <f>Table1[[#This Row],[Revenue]]*12</f>
        <v>96000</v>
      </c>
      <c r="L147" s="4"/>
    </row>
    <row r="148" spans="1:12" x14ac:dyDescent="0.35">
      <c r="A148">
        <v>1014</v>
      </c>
      <c r="B148" t="str">
        <f>TEXT(Table1[[#This Row],[Date]], "mmm")</f>
        <v>Mar</v>
      </c>
      <c r="C148" t="s">
        <v>35</v>
      </c>
      <c r="D148" t="s">
        <v>13</v>
      </c>
      <c r="E148" t="s">
        <v>20</v>
      </c>
      <c r="F148" t="s">
        <v>15</v>
      </c>
      <c r="G148">
        <v>10</v>
      </c>
      <c r="H148">
        <v>2000</v>
      </c>
      <c r="I148">
        <v>20000</v>
      </c>
      <c r="J148">
        <f>Table1[[#This Row],[Revenue]]*12</f>
        <v>240000</v>
      </c>
      <c r="L148" s="4"/>
    </row>
    <row r="149" spans="1:12" x14ac:dyDescent="0.35">
      <c r="A149">
        <v>1088</v>
      </c>
      <c r="B149" t="str">
        <f>TEXT(Table1[[#This Row],[Date]], "mmm")</f>
        <v>Mar</v>
      </c>
      <c r="C149" t="s">
        <v>74</v>
      </c>
      <c r="D149" t="s">
        <v>13</v>
      </c>
      <c r="E149" t="s">
        <v>32</v>
      </c>
      <c r="F149" t="s">
        <v>15</v>
      </c>
      <c r="G149">
        <v>9</v>
      </c>
      <c r="H149">
        <v>1500</v>
      </c>
      <c r="I149">
        <v>13500</v>
      </c>
      <c r="J149">
        <f>Table1[[#This Row],[Revenue]]*12</f>
        <v>162000</v>
      </c>
      <c r="L149" s="4"/>
    </row>
    <row r="150" spans="1:12" x14ac:dyDescent="0.35">
      <c r="A150">
        <v>1162</v>
      </c>
      <c r="B150" t="str">
        <f>TEXT(Table1[[#This Row],[Date]], "mmm")</f>
        <v>Mar</v>
      </c>
      <c r="C150" t="s">
        <v>47</v>
      </c>
      <c r="D150" t="s">
        <v>13</v>
      </c>
      <c r="E150" t="s">
        <v>10</v>
      </c>
      <c r="F150" t="s">
        <v>11</v>
      </c>
      <c r="G150">
        <v>1</v>
      </c>
      <c r="H150">
        <v>25000</v>
      </c>
      <c r="I150">
        <v>25000</v>
      </c>
      <c r="J150">
        <f>Table1[[#This Row],[Revenue]]*12</f>
        <v>300000</v>
      </c>
      <c r="L150" s="4"/>
    </row>
    <row r="151" spans="1:12" x14ac:dyDescent="0.35">
      <c r="A151">
        <v>1033</v>
      </c>
      <c r="B151" t="str">
        <f>TEXT(Table1[[#This Row],[Date]], "mmm")</f>
        <v>Mar</v>
      </c>
      <c r="C151" t="s">
        <v>47</v>
      </c>
      <c r="D151" t="s">
        <v>31</v>
      </c>
      <c r="E151" t="s">
        <v>23</v>
      </c>
      <c r="F151" t="s">
        <v>15</v>
      </c>
      <c r="G151">
        <v>6</v>
      </c>
      <c r="H151">
        <v>10000</v>
      </c>
      <c r="I151">
        <v>60000</v>
      </c>
      <c r="J151">
        <f>Table1[[#This Row],[Revenue]]*12</f>
        <v>720000</v>
      </c>
      <c r="L151" s="4"/>
    </row>
    <row r="152" spans="1:12" x14ac:dyDescent="0.35">
      <c r="A152">
        <v>1111</v>
      </c>
      <c r="B152" t="str">
        <f>TEXT(Table1[[#This Row],[Date]], "mmm")</f>
        <v>Mar</v>
      </c>
      <c r="C152" t="s">
        <v>47</v>
      </c>
      <c r="D152" t="s">
        <v>31</v>
      </c>
      <c r="E152" t="s">
        <v>25</v>
      </c>
      <c r="F152" t="s">
        <v>11</v>
      </c>
      <c r="G152">
        <v>2</v>
      </c>
      <c r="H152">
        <v>30000</v>
      </c>
      <c r="I152">
        <v>60000</v>
      </c>
      <c r="J152">
        <f>Table1[[#This Row],[Revenue]]*12</f>
        <v>720000</v>
      </c>
      <c r="L152" s="4"/>
    </row>
    <row r="153" spans="1:12" x14ac:dyDescent="0.35">
      <c r="A153">
        <v>1099</v>
      </c>
      <c r="B153" t="str">
        <f>TEXT(Table1[[#This Row],[Date]], "mmm")</f>
        <v>Mar</v>
      </c>
      <c r="C153" t="s">
        <v>82</v>
      </c>
      <c r="D153" t="s">
        <v>31</v>
      </c>
      <c r="E153" t="s">
        <v>32</v>
      </c>
      <c r="F153" t="s">
        <v>15</v>
      </c>
      <c r="G153">
        <v>6</v>
      </c>
      <c r="H153">
        <v>1500</v>
      </c>
      <c r="I153">
        <v>9000</v>
      </c>
      <c r="J153">
        <f>Table1[[#This Row],[Revenue]]*12</f>
        <v>108000</v>
      </c>
      <c r="L153" s="4"/>
    </row>
    <row r="154" spans="1:12" x14ac:dyDescent="0.35">
      <c r="A154">
        <v>1177</v>
      </c>
      <c r="B154" t="str">
        <f>TEXT(Table1[[#This Row],[Date]], "mmm")</f>
        <v>Mar</v>
      </c>
      <c r="C154" t="s">
        <v>82</v>
      </c>
      <c r="D154" t="s">
        <v>17</v>
      </c>
      <c r="E154" t="s">
        <v>41</v>
      </c>
      <c r="F154" t="s">
        <v>15</v>
      </c>
      <c r="G154">
        <v>6</v>
      </c>
      <c r="H154">
        <v>20000</v>
      </c>
      <c r="I154">
        <v>120000</v>
      </c>
      <c r="J154">
        <f>Table1[[#This Row],[Revenue]]*12</f>
        <v>1440000</v>
      </c>
      <c r="L154" s="4"/>
    </row>
    <row r="155" spans="1:12" x14ac:dyDescent="0.35">
      <c r="A155">
        <v>1134</v>
      </c>
      <c r="B155" t="str">
        <f>TEXT(Table1[[#This Row],[Date]], "mmm")</f>
        <v>Mar</v>
      </c>
      <c r="C155" t="s">
        <v>43</v>
      </c>
      <c r="D155" t="s">
        <v>17</v>
      </c>
      <c r="E155" t="s">
        <v>25</v>
      </c>
      <c r="F155" t="s">
        <v>11</v>
      </c>
      <c r="G155">
        <v>1</v>
      </c>
      <c r="H155">
        <v>30000</v>
      </c>
      <c r="I155">
        <v>30000</v>
      </c>
      <c r="J155">
        <f>Table1[[#This Row],[Revenue]]*12</f>
        <v>360000</v>
      </c>
      <c r="L155" s="4"/>
    </row>
    <row r="156" spans="1:12" x14ac:dyDescent="0.35">
      <c r="A156">
        <v>1187</v>
      </c>
      <c r="B156" t="str">
        <f>TEXT(Table1[[#This Row],[Date]], "mmm")</f>
        <v>Mar</v>
      </c>
      <c r="C156" t="s">
        <v>43</v>
      </c>
      <c r="D156" t="s">
        <v>31</v>
      </c>
      <c r="E156" t="s">
        <v>45</v>
      </c>
      <c r="F156" t="s">
        <v>11</v>
      </c>
      <c r="G156">
        <v>1</v>
      </c>
      <c r="H156">
        <v>7000</v>
      </c>
      <c r="I156">
        <v>7000</v>
      </c>
      <c r="J156">
        <f>Table1[[#This Row],[Revenue]]*12</f>
        <v>84000</v>
      </c>
      <c r="L156" s="4"/>
    </row>
    <row r="157" spans="1:12" x14ac:dyDescent="0.35">
      <c r="A157">
        <v>1029</v>
      </c>
      <c r="B157" t="str">
        <f>TEXT(Table1[[#This Row],[Date]], "mmm")</f>
        <v>Mar</v>
      </c>
      <c r="C157" t="s">
        <v>43</v>
      </c>
      <c r="D157" t="s">
        <v>9</v>
      </c>
      <c r="E157" t="s">
        <v>23</v>
      </c>
      <c r="F157" t="s">
        <v>15</v>
      </c>
      <c r="G157">
        <v>10</v>
      </c>
      <c r="H157">
        <v>10000</v>
      </c>
      <c r="I157">
        <v>100000</v>
      </c>
      <c r="J157">
        <f>Table1[[#This Row],[Revenue]]*12</f>
        <v>1200000</v>
      </c>
      <c r="L157" s="4"/>
    </row>
    <row r="158" spans="1:12" x14ac:dyDescent="0.35">
      <c r="A158">
        <v>1129</v>
      </c>
      <c r="B158" t="str">
        <f>TEXT(Table1[[#This Row],[Date]], "mmm")</f>
        <v>Mar</v>
      </c>
      <c r="C158" t="s">
        <v>43</v>
      </c>
      <c r="D158" t="s">
        <v>17</v>
      </c>
      <c r="E158" t="s">
        <v>14</v>
      </c>
      <c r="F158" t="s">
        <v>15</v>
      </c>
      <c r="G158">
        <v>3</v>
      </c>
      <c r="H158">
        <v>50000</v>
      </c>
      <c r="I158">
        <v>150000</v>
      </c>
      <c r="J158">
        <f>Table1[[#This Row],[Revenue]]*12</f>
        <v>1800000</v>
      </c>
      <c r="L158" s="4"/>
    </row>
    <row r="159" spans="1:12" x14ac:dyDescent="0.35">
      <c r="A159">
        <v>1102</v>
      </c>
      <c r="B159" t="str">
        <f>TEXT(Table1[[#This Row],[Date]], "mmm")</f>
        <v>Mar</v>
      </c>
      <c r="C159" t="s">
        <v>84</v>
      </c>
      <c r="D159" t="s">
        <v>13</v>
      </c>
      <c r="E159" t="s">
        <v>45</v>
      </c>
      <c r="F159" t="s">
        <v>11</v>
      </c>
      <c r="G159">
        <v>3</v>
      </c>
      <c r="H159">
        <v>7000</v>
      </c>
      <c r="I159">
        <v>21000</v>
      </c>
      <c r="J159">
        <f>Table1[[#This Row],[Revenue]]*12</f>
        <v>252000</v>
      </c>
      <c r="L159" s="4"/>
    </row>
    <row r="160" spans="1:12" x14ac:dyDescent="0.35">
      <c r="A160">
        <v>1122</v>
      </c>
      <c r="B160" t="str">
        <f>TEXT(Table1[[#This Row],[Date]], "mmm")</f>
        <v>Mar</v>
      </c>
      <c r="C160" t="s">
        <v>84</v>
      </c>
      <c r="D160" t="s">
        <v>13</v>
      </c>
      <c r="E160" t="s">
        <v>27</v>
      </c>
      <c r="F160" t="s">
        <v>15</v>
      </c>
      <c r="G160">
        <v>5</v>
      </c>
      <c r="H160">
        <v>800</v>
      </c>
      <c r="I160">
        <v>4000</v>
      </c>
      <c r="J160">
        <f>Table1[[#This Row],[Revenue]]*12</f>
        <v>48000</v>
      </c>
      <c r="L160" s="4"/>
    </row>
    <row r="161" spans="1:12" x14ac:dyDescent="0.35">
      <c r="A161">
        <v>1175</v>
      </c>
      <c r="B161" t="str">
        <f>TEXT(Table1[[#This Row],[Date]], "mmm")</f>
        <v>Mar</v>
      </c>
      <c r="C161" t="s">
        <v>84</v>
      </c>
      <c r="D161" t="s">
        <v>13</v>
      </c>
      <c r="E161" t="s">
        <v>32</v>
      </c>
      <c r="F161" t="s">
        <v>15</v>
      </c>
      <c r="G161">
        <v>8</v>
      </c>
      <c r="H161">
        <v>1500</v>
      </c>
      <c r="I161">
        <v>12000</v>
      </c>
      <c r="J161">
        <f>Table1[[#This Row],[Revenue]]*12</f>
        <v>144000</v>
      </c>
      <c r="L161" s="4"/>
    </row>
    <row r="162" spans="1:12" x14ac:dyDescent="0.35">
      <c r="A162">
        <v>1021</v>
      </c>
      <c r="B162" t="str">
        <f>TEXT(Table1[[#This Row],[Date]], "mmm")</f>
        <v>Mar</v>
      </c>
      <c r="C162" t="s">
        <v>38</v>
      </c>
      <c r="D162" t="s">
        <v>31</v>
      </c>
      <c r="E162" t="s">
        <v>23</v>
      </c>
      <c r="F162" t="s">
        <v>15</v>
      </c>
      <c r="G162">
        <v>4</v>
      </c>
      <c r="H162">
        <v>10000</v>
      </c>
      <c r="I162">
        <v>40000</v>
      </c>
      <c r="J162">
        <f>Table1[[#This Row],[Revenue]]*12</f>
        <v>480000</v>
      </c>
      <c r="L162" s="4"/>
    </row>
    <row r="163" spans="1:12" x14ac:dyDescent="0.35">
      <c r="A163">
        <v>1057</v>
      </c>
      <c r="B163" t="str">
        <f>TEXT(Table1[[#This Row],[Date]], "mmm")</f>
        <v>Mar</v>
      </c>
      <c r="C163" t="s">
        <v>38</v>
      </c>
      <c r="D163" t="s">
        <v>31</v>
      </c>
      <c r="E163" t="s">
        <v>10</v>
      </c>
      <c r="F163" t="s">
        <v>11</v>
      </c>
      <c r="G163">
        <v>5</v>
      </c>
      <c r="H163">
        <v>25000</v>
      </c>
      <c r="I163">
        <v>125000</v>
      </c>
      <c r="J163">
        <f>Table1[[#This Row],[Revenue]]*12</f>
        <v>1500000</v>
      </c>
      <c r="L163" s="4"/>
    </row>
    <row r="164" spans="1:12" x14ac:dyDescent="0.35">
      <c r="A164">
        <v>1183</v>
      </c>
      <c r="B164" t="str">
        <f>TEXT(Table1[[#This Row],[Date]], "mmm")</f>
        <v>Mar</v>
      </c>
      <c r="C164" t="s">
        <v>102</v>
      </c>
      <c r="D164" t="s">
        <v>31</v>
      </c>
      <c r="E164" t="s">
        <v>45</v>
      </c>
      <c r="F164" t="s">
        <v>11</v>
      </c>
      <c r="G164">
        <v>9</v>
      </c>
      <c r="H164">
        <v>7000</v>
      </c>
      <c r="I164">
        <v>63000</v>
      </c>
      <c r="J164">
        <f>Table1[[#This Row],[Revenue]]*12</f>
        <v>756000</v>
      </c>
      <c r="L164" s="4"/>
    </row>
    <row r="165" spans="1:12" x14ac:dyDescent="0.35">
      <c r="A165">
        <v>1040</v>
      </c>
      <c r="B165" t="str">
        <f>TEXT(Table1[[#This Row],[Date]], "mmm")</f>
        <v>Mar</v>
      </c>
      <c r="C165" t="s">
        <v>52</v>
      </c>
      <c r="D165" t="s">
        <v>31</v>
      </c>
      <c r="E165" t="s">
        <v>25</v>
      </c>
      <c r="F165" t="s">
        <v>11</v>
      </c>
      <c r="G165">
        <v>1</v>
      </c>
      <c r="H165">
        <v>30000</v>
      </c>
      <c r="I165">
        <v>30000</v>
      </c>
      <c r="J165">
        <f>Table1[[#This Row],[Revenue]]*12</f>
        <v>360000</v>
      </c>
      <c r="L165" s="4"/>
    </row>
    <row r="166" spans="1:12" x14ac:dyDescent="0.35">
      <c r="A166">
        <v>1115</v>
      </c>
      <c r="B166" t="str">
        <f>TEXT(Table1[[#This Row],[Date]], "mmm")</f>
        <v>Mar</v>
      </c>
      <c r="C166" t="s">
        <v>52</v>
      </c>
      <c r="D166" t="s">
        <v>9</v>
      </c>
      <c r="E166" t="s">
        <v>10</v>
      </c>
      <c r="F166" t="s">
        <v>11</v>
      </c>
      <c r="G166">
        <v>6</v>
      </c>
      <c r="H166">
        <v>25000</v>
      </c>
      <c r="I166">
        <v>150000</v>
      </c>
      <c r="J166">
        <f>Table1[[#This Row],[Revenue]]*12</f>
        <v>1800000</v>
      </c>
      <c r="L166" s="4"/>
    </row>
    <row r="167" spans="1:12" x14ac:dyDescent="0.35">
      <c r="A167">
        <v>1173</v>
      </c>
      <c r="B167" t="str">
        <f>TEXT(Table1[[#This Row],[Date]], "mmm")</f>
        <v>Mar</v>
      </c>
      <c r="C167" t="s">
        <v>52</v>
      </c>
      <c r="D167" t="s">
        <v>17</v>
      </c>
      <c r="E167" t="s">
        <v>23</v>
      </c>
      <c r="F167" t="s">
        <v>15</v>
      </c>
      <c r="G167">
        <v>4</v>
      </c>
      <c r="H167">
        <v>10000</v>
      </c>
      <c r="I167">
        <v>40000</v>
      </c>
      <c r="J167">
        <f>Table1[[#This Row],[Revenue]]*12</f>
        <v>480000</v>
      </c>
      <c r="L167" s="4"/>
    </row>
    <row r="168" spans="1:12" x14ac:dyDescent="0.35">
      <c r="A168">
        <v>1110</v>
      </c>
      <c r="B168" t="str">
        <f>TEXT(Table1[[#This Row],[Date]], "mmm")</f>
        <v>Mar</v>
      </c>
      <c r="C168" t="s">
        <v>52</v>
      </c>
      <c r="D168" t="s">
        <v>17</v>
      </c>
      <c r="E168" t="s">
        <v>27</v>
      </c>
      <c r="F168" t="s">
        <v>15</v>
      </c>
      <c r="G168">
        <v>5</v>
      </c>
      <c r="H168">
        <v>800</v>
      </c>
      <c r="I168">
        <v>4000</v>
      </c>
      <c r="J168">
        <f>Table1[[#This Row],[Revenue]]*12</f>
        <v>48000</v>
      </c>
      <c r="L168" s="4"/>
    </row>
    <row r="169" spans="1:12" x14ac:dyDescent="0.35">
      <c r="A169">
        <v>1089</v>
      </c>
      <c r="B169" t="str">
        <f>TEXT(Table1[[#This Row],[Date]], "mmm")</f>
        <v>Mar</v>
      </c>
      <c r="C169" t="s">
        <v>75</v>
      </c>
      <c r="D169" t="s">
        <v>13</v>
      </c>
      <c r="E169" t="s">
        <v>10</v>
      </c>
      <c r="F169" t="s">
        <v>11</v>
      </c>
      <c r="G169">
        <v>4</v>
      </c>
      <c r="H169">
        <v>25000</v>
      </c>
      <c r="I169">
        <v>100000</v>
      </c>
      <c r="J169">
        <f>Table1[[#This Row],[Revenue]]*12</f>
        <v>1200000</v>
      </c>
      <c r="L169" s="4"/>
    </row>
    <row r="170" spans="1:12" x14ac:dyDescent="0.35">
      <c r="A170">
        <v>1120</v>
      </c>
      <c r="B170" t="str">
        <f>TEXT(Table1[[#This Row],[Date]], "mmm")</f>
        <v>Mar</v>
      </c>
      <c r="C170" t="s">
        <v>89</v>
      </c>
      <c r="D170" t="s">
        <v>9</v>
      </c>
      <c r="E170" t="s">
        <v>32</v>
      </c>
      <c r="F170" t="s">
        <v>15</v>
      </c>
      <c r="G170">
        <v>10</v>
      </c>
      <c r="H170">
        <v>1500</v>
      </c>
      <c r="I170">
        <v>15000</v>
      </c>
      <c r="J170">
        <f>Table1[[#This Row],[Revenue]]*12</f>
        <v>180000</v>
      </c>
      <c r="L170" s="4"/>
    </row>
    <row r="171" spans="1:12" x14ac:dyDescent="0.35">
      <c r="A171">
        <v>1026</v>
      </c>
      <c r="B171" t="str">
        <f>TEXT(Table1[[#This Row],[Date]], "mmm")</f>
        <v>Mar</v>
      </c>
      <c r="C171" t="s">
        <v>40</v>
      </c>
      <c r="D171" t="s">
        <v>31</v>
      </c>
      <c r="E171" t="s">
        <v>41</v>
      </c>
      <c r="F171" t="s">
        <v>15</v>
      </c>
      <c r="G171">
        <v>4</v>
      </c>
      <c r="H171">
        <v>20000</v>
      </c>
      <c r="I171">
        <v>80000</v>
      </c>
      <c r="J171">
        <f>Table1[[#This Row],[Revenue]]*12</f>
        <v>960000</v>
      </c>
      <c r="L171" s="4"/>
    </row>
    <row r="172" spans="1:12" x14ac:dyDescent="0.35">
      <c r="A172">
        <v>1041</v>
      </c>
      <c r="B172" t="str">
        <f>TEXT(Table1[[#This Row],[Date]], "mmm")</f>
        <v>Mar</v>
      </c>
      <c r="C172" t="s">
        <v>53</v>
      </c>
      <c r="D172" t="s">
        <v>17</v>
      </c>
      <c r="E172" t="s">
        <v>20</v>
      </c>
      <c r="F172" t="s">
        <v>15</v>
      </c>
      <c r="G172">
        <v>10</v>
      </c>
      <c r="H172">
        <v>2000</v>
      </c>
      <c r="I172">
        <v>20000</v>
      </c>
      <c r="J172">
        <f>Table1[[#This Row],[Revenue]]*12</f>
        <v>240000</v>
      </c>
      <c r="L172" s="4"/>
    </row>
    <row r="173" spans="1:12" x14ac:dyDescent="0.35">
      <c r="A173">
        <v>1063</v>
      </c>
      <c r="B173" t="str">
        <f>TEXT(Table1[[#This Row],[Date]], "mmm")</f>
        <v>Mar</v>
      </c>
      <c r="C173" t="s">
        <v>53</v>
      </c>
      <c r="D173" t="s">
        <v>13</v>
      </c>
      <c r="E173" t="s">
        <v>18</v>
      </c>
      <c r="F173" t="s">
        <v>11</v>
      </c>
      <c r="G173">
        <v>4</v>
      </c>
      <c r="H173">
        <v>2000</v>
      </c>
      <c r="I173">
        <v>8000</v>
      </c>
      <c r="J173">
        <f>Table1[[#This Row],[Revenue]]*12</f>
        <v>96000</v>
      </c>
      <c r="L173" s="4"/>
    </row>
    <row r="174" spans="1:12" x14ac:dyDescent="0.35">
      <c r="A174">
        <v>1050</v>
      </c>
      <c r="B174" t="str">
        <f>TEXT(Table1[[#This Row],[Date]], "mmm")</f>
        <v>Mar</v>
      </c>
      <c r="C174" t="s">
        <v>57</v>
      </c>
      <c r="D174" t="s">
        <v>13</v>
      </c>
      <c r="E174" t="s">
        <v>32</v>
      </c>
      <c r="F174" t="s">
        <v>15</v>
      </c>
      <c r="G174">
        <v>4</v>
      </c>
      <c r="H174">
        <v>1500</v>
      </c>
      <c r="I174">
        <v>6000</v>
      </c>
      <c r="J174">
        <f>Table1[[#This Row],[Revenue]]*12</f>
        <v>72000</v>
      </c>
      <c r="L174" s="4"/>
    </row>
    <row r="175" spans="1:12" x14ac:dyDescent="0.35">
      <c r="A175">
        <v>1071</v>
      </c>
      <c r="B175" t="str">
        <f>TEXT(Table1[[#This Row],[Date]], "mmm")</f>
        <v>Mar</v>
      </c>
      <c r="C175" t="s">
        <v>57</v>
      </c>
      <c r="D175" t="s">
        <v>31</v>
      </c>
      <c r="E175" t="s">
        <v>32</v>
      </c>
      <c r="F175" t="s">
        <v>15</v>
      </c>
      <c r="G175">
        <v>4</v>
      </c>
      <c r="H175">
        <v>1500</v>
      </c>
      <c r="I175">
        <v>6000</v>
      </c>
      <c r="J175">
        <f>Table1[[#This Row],[Revenue]]*12</f>
        <v>72000</v>
      </c>
      <c r="L175" s="4"/>
    </row>
    <row r="176" spans="1:12" x14ac:dyDescent="0.35">
      <c r="A176">
        <v>1112</v>
      </c>
      <c r="B176" t="str">
        <f>TEXT(Table1[[#This Row],[Date]], "mmm")</f>
        <v>Mar</v>
      </c>
      <c r="C176" t="s">
        <v>46</v>
      </c>
      <c r="D176" t="s">
        <v>13</v>
      </c>
      <c r="E176" t="s">
        <v>14</v>
      </c>
      <c r="F176" t="s">
        <v>15</v>
      </c>
      <c r="G176">
        <v>3</v>
      </c>
      <c r="H176">
        <v>50000</v>
      </c>
      <c r="I176">
        <v>150000</v>
      </c>
      <c r="J176">
        <f>Table1[[#This Row],[Revenue]]*12</f>
        <v>1800000</v>
      </c>
      <c r="L176" s="4"/>
    </row>
    <row r="177" spans="1:12" x14ac:dyDescent="0.35">
      <c r="A177">
        <v>1185</v>
      </c>
      <c r="B177" t="str">
        <f>TEXT(Table1[[#This Row],[Date]], "mmm")</f>
        <v>Mar</v>
      </c>
      <c r="C177" t="s">
        <v>46</v>
      </c>
      <c r="D177" t="s">
        <v>13</v>
      </c>
      <c r="E177" t="s">
        <v>41</v>
      </c>
      <c r="F177" t="s">
        <v>15</v>
      </c>
      <c r="G177">
        <v>5</v>
      </c>
      <c r="H177">
        <v>20000</v>
      </c>
      <c r="I177">
        <v>100000</v>
      </c>
      <c r="J177">
        <f>Table1[[#This Row],[Revenue]]*12</f>
        <v>1200000</v>
      </c>
      <c r="L177" s="4"/>
    </row>
    <row r="178" spans="1:12" x14ac:dyDescent="0.35">
      <c r="A178">
        <v>1032</v>
      </c>
      <c r="B178" t="str">
        <f>TEXT(Table1[[#This Row],[Date]], "mmm")</f>
        <v>Mar</v>
      </c>
      <c r="C178" t="s">
        <v>46</v>
      </c>
      <c r="D178" t="s">
        <v>9</v>
      </c>
      <c r="E178" t="s">
        <v>25</v>
      </c>
      <c r="F178" t="s">
        <v>11</v>
      </c>
      <c r="G178">
        <v>4</v>
      </c>
      <c r="H178">
        <v>30000</v>
      </c>
      <c r="I178">
        <v>120000</v>
      </c>
      <c r="J178">
        <f>Table1[[#This Row],[Revenue]]*12</f>
        <v>1440000</v>
      </c>
      <c r="L178" s="4"/>
    </row>
    <row r="179" spans="1:12" x14ac:dyDescent="0.35">
      <c r="A179">
        <v>1146</v>
      </c>
      <c r="B179" t="str">
        <f>TEXT(Table1[[#This Row],[Date]], "mmm")</f>
        <v>Mar</v>
      </c>
      <c r="C179" t="s">
        <v>46</v>
      </c>
      <c r="D179" t="s">
        <v>17</v>
      </c>
      <c r="E179" t="s">
        <v>25</v>
      </c>
      <c r="F179" t="s">
        <v>11</v>
      </c>
      <c r="G179">
        <v>6</v>
      </c>
      <c r="H179">
        <v>30000</v>
      </c>
      <c r="I179">
        <v>180000</v>
      </c>
      <c r="J179">
        <f>Table1[[#This Row],[Revenue]]*12</f>
        <v>2160000</v>
      </c>
      <c r="L179" s="4"/>
    </row>
    <row r="180" spans="1:12" x14ac:dyDescent="0.35">
      <c r="A180">
        <v>1135</v>
      </c>
      <c r="B180" t="str">
        <f>TEXT(Table1[[#This Row],[Date]], "mmm")</f>
        <v>Mar</v>
      </c>
      <c r="C180" t="s">
        <v>46</v>
      </c>
      <c r="D180" t="s">
        <v>31</v>
      </c>
      <c r="E180" t="s">
        <v>23</v>
      </c>
      <c r="F180" t="s">
        <v>15</v>
      </c>
      <c r="G180">
        <v>1</v>
      </c>
      <c r="H180">
        <v>10000</v>
      </c>
      <c r="I180">
        <v>10000</v>
      </c>
      <c r="J180">
        <f>Table1[[#This Row],[Revenue]]*12</f>
        <v>120000</v>
      </c>
      <c r="L180" s="4"/>
    </row>
    <row r="181" spans="1:12" x14ac:dyDescent="0.35">
      <c r="A181">
        <v>1167</v>
      </c>
      <c r="B181" t="str">
        <f>TEXT(Table1[[#This Row],[Date]], "mmm")</f>
        <v>Mar</v>
      </c>
      <c r="C181" t="s">
        <v>46</v>
      </c>
      <c r="D181" t="s">
        <v>31</v>
      </c>
      <c r="E181" t="s">
        <v>23</v>
      </c>
      <c r="F181" t="s">
        <v>15</v>
      </c>
      <c r="G181">
        <v>3</v>
      </c>
      <c r="H181">
        <v>10000</v>
      </c>
      <c r="I181">
        <v>30000</v>
      </c>
      <c r="J181">
        <f>Table1[[#This Row],[Revenue]]*12</f>
        <v>360000</v>
      </c>
      <c r="L181" s="4"/>
    </row>
    <row r="182" spans="1:12" x14ac:dyDescent="0.35">
      <c r="A182">
        <v>1039</v>
      </c>
      <c r="B182" t="str">
        <f>TEXT(Table1[[#This Row],[Date]], "mmm")</f>
        <v>Mar</v>
      </c>
      <c r="C182" t="s">
        <v>51</v>
      </c>
      <c r="D182" t="s">
        <v>13</v>
      </c>
      <c r="E182" t="s">
        <v>32</v>
      </c>
      <c r="F182" t="s">
        <v>15</v>
      </c>
      <c r="G182">
        <v>6</v>
      </c>
      <c r="H182">
        <v>1500</v>
      </c>
      <c r="I182">
        <v>9000</v>
      </c>
      <c r="J182">
        <f>Table1[[#This Row],[Revenue]]*12</f>
        <v>108000</v>
      </c>
      <c r="L182" s="4"/>
    </row>
    <row r="183" spans="1:12" x14ac:dyDescent="0.35">
      <c r="A183">
        <v>1164</v>
      </c>
      <c r="B183" t="str">
        <f>TEXT(Table1[[#This Row],[Date]], "mmm")</f>
        <v>Mar</v>
      </c>
      <c r="C183" t="s">
        <v>51</v>
      </c>
      <c r="D183" t="s">
        <v>13</v>
      </c>
      <c r="E183" t="s">
        <v>23</v>
      </c>
      <c r="F183" t="s">
        <v>15</v>
      </c>
      <c r="G183">
        <v>8</v>
      </c>
      <c r="H183">
        <v>10000</v>
      </c>
      <c r="I183">
        <v>80000</v>
      </c>
      <c r="J183">
        <f>Table1[[#This Row],[Revenue]]*12</f>
        <v>960000</v>
      </c>
      <c r="L183" s="4"/>
    </row>
    <row r="184" spans="1:12" x14ac:dyDescent="0.35">
      <c r="A184">
        <v>1068</v>
      </c>
      <c r="B184" t="str">
        <f>TEXT(Table1[[#This Row],[Date]], "mmm")</f>
        <v>Mar</v>
      </c>
      <c r="C184" t="s">
        <v>51</v>
      </c>
      <c r="D184" t="s">
        <v>13</v>
      </c>
      <c r="E184" t="s">
        <v>10</v>
      </c>
      <c r="F184" t="s">
        <v>11</v>
      </c>
      <c r="G184">
        <v>4</v>
      </c>
      <c r="H184">
        <v>25000</v>
      </c>
      <c r="I184">
        <v>100000</v>
      </c>
      <c r="J184">
        <f>Table1[[#This Row],[Revenue]]*12</f>
        <v>1200000</v>
      </c>
      <c r="L184" s="4"/>
    </row>
    <row r="185" spans="1:12" x14ac:dyDescent="0.35">
      <c r="A185">
        <v>1106</v>
      </c>
      <c r="B185" t="str">
        <f>TEXT(Table1[[#This Row],[Date]], "mmm")</f>
        <v>Mar</v>
      </c>
      <c r="C185" t="s">
        <v>86</v>
      </c>
      <c r="D185" t="s">
        <v>13</v>
      </c>
      <c r="E185" t="s">
        <v>32</v>
      </c>
      <c r="F185" t="s">
        <v>15</v>
      </c>
      <c r="G185">
        <v>6</v>
      </c>
      <c r="H185">
        <v>1500</v>
      </c>
      <c r="I185">
        <v>9000</v>
      </c>
      <c r="J185">
        <f>Table1[[#This Row],[Revenue]]*12</f>
        <v>108000</v>
      </c>
      <c r="L185" s="4"/>
    </row>
    <row r="186" spans="1:12" x14ac:dyDescent="0.35">
      <c r="A186">
        <v>1097</v>
      </c>
      <c r="B186" t="str">
        <f>TEXT(Table1[[#This Row],[Date]], "mmm")</f>
        <v>Mar</v>
      </c>
      <c r="C186" t="s">
        <v>80</v>
      </c>
      <c r="D186" t="s">
        <v>31</v>
      </c>
      <c r="E186" t="s">
        <v>10</v>
      </c>
      <c r="F186" t="s">
        <v>11</v>
      </c>
      <c r="G186">
        <v>3</v>
      </c>
      <c r="H186">
        <v>25000</v>
      </c>
      <c r="I186">
        <v>75000</v>
      </c>
      <c r="J186">
        <f>Table1[[#This Row],[Revenue]]*12</f>
        <v>900000</v>
      </c>
      <c r="L186" s="4"/>
    </row>
    <row r="187" spans="1:12" x14ac:dyDescent="0.35">
      <c r="A187">
        <v>1157</v>
      </c>
      <c r="B187" t="str">
        <f>TEXT(Table1[[#This Row],[Date]], "mmm")</f>
        <v>Mar</v>
      </c>
      <c r="C187" t="s">
        <v>12</v>
      </c>
      <c r="D187" t="s">
        <v>31</v>
      </c>
      <c r="E187" t="s">
        <v>25</v>
      </c>
      <c r="F187" t="s">
        <v>11</v>
      </c>
      <c r="G187">
        <v>4</v>
      </c>
      <c r="H187">
        <v>30000</v>
      </c>
      <c r="I187">
        <v>120000</v>
      </c>
      <c r="J187">
        <f>Table1[[#This Row],[Revenue]]*12</f>
        <v>1440000</v>
      </c>
      <c r="L187" s="4"/>
    </row>
    <row r="188" spans="1:12" x14ac:dyDescent="0.35">
      <c r="A188">
        <v>1168</v>
      </c>
      <c r="B188" t="str">
        <f>TEXT(Table1[[#This Row],[Date]], "mmm")</f>
        <v>Mar</v>
      </c>
      <c r="C188" t="s">
        <v>12</v>
      </c>
      <c r="D188" t="s">
        <v>17</v>
      </c>
      <c r="E188" t="s">
        <v>27</v>
      </c>
      <c r="F188" t="s">
        <v>15</v>
      </c>
      <c r="G188">
        <v>1</v>
      </c>
      <c r="H188">
        <v>800</v>
      </c>
      <c r="I188">
        <v>800</v>
      </c>
      <c r="J188">
        <f>Table1[[#This Row],[Revenue]]*12</f>
        <v>9600</v>
      </c>
      <c r="L188" s="4"/>
    </row>
    <row r="189" spans="1:12" x14ac:dyDescent="0.35">
      <c r="A189">
        <v>1163</v>
      </c>
      <c r="B189" t="str">
        <f>TEXT(Table1[[#This Row],[Date]], "mmm")</f>
        <v>Mar</v>
      </c>
      <c r="C189" t="s">
        <v>12</v>
      </c>
      <c r="D189" t="s">
        <v>13</v>
      </c>
      <c r="E189" t="s">
        <v>18</v>
      </c>
      <c r="F189" t="s">
        <v>11</v>
      </c>
      <c r="G189">
        <v>10</v>
      </c>
      <c r="H189">
        <v>2000</v>
      </c>
      <c r="I189">
        <v>20000</v>
      </c>
      <c r="J189">
        <f>Table1[[#This Row],[Revenue]]*12</f>
        <v>240000</v>
      </c>
      <c r="L189" s="4"/>
    </row>
    <row r="190" spans="1:12" x14ac:dyDescent="0.35">
      <c r="A190">
        <v>1043</v>
      </c>
      <c r="B190" t="str">
        <f>TEXT(Table1[[#This Row],[Date]], "mmm")</f>
        <v>Mar</v>
      </c>
      <c r="C190" t="s">
        <v>12</v>
      </c>
      <c r="D190" t="s">
        <v>17</v>
      </c>
      <c r="E190" t="s">
        <v>10</v>
      </c>
      <c r="F190" t="s">
        <v>11</v>
      </c>
      <c r="G190">
        <v>7</v>
      </c>
      <c r="H190">
        <v>25000</v>
      </c>
      <c r="I190">
        <v>175000</v>
      </c>
      <c r="J190">
        <f>Table1[[#This Row],[Revenue]]*12</f>
        <v>2100000</v>
      </c>
      <c r="L190" s="4"/>
    </row>
    <row r="191" spans="1:12" x14ac:dyDescent="0.35">
      <c r="A191">
        <v>1192</v>
      </c>
      <c r="B191" t="str">
        <f>TEXT(Table1[[#This Row],[Date]], "mmm")</f>
        <v>Mar</v>
      </c>
      <c r="C191" t="s">
        <v>12</v>
      </c>
      <c r="D191" t="s">
        <v>9</v>
      </c>
      <c r="E191" t="s">
        <v>23</v>
      </c>
      <c r="F191" t="s">
        <v>15</v>
      </c>
      <c r="G191">
        <v>5</v>
      </c>
      <c r="H191">
        <v>10000</v>
      </c>
      <c r="I191">
        <v>50000</v>
      </c>
      <c r="J191">
        <f>Table1[[#This Row],[Revenue]]*12</f>
        <v>600000</v>
      </c>
      <c r="L191" s="4"/>
    </row>
    <row r="192" spans="1:12" x14ac:dyDescent="0.35">
      <c r="A192">
        <v>1001</v>
      </c>
      <c r="B192" t="str">
        <f>TEXT(Table1[[#This Row],[Date]], "mmm")</f>
        <v>Mar</v>
      </c>
      <c r="C192" t="s">
        <v>12</v>
      </c>
      <c r="D192" t="s">
        <v>13</v>
      </c>
      <c r="E192" t="s">
        <v>14</v>
      </c>
      <c r="F192" t="s">
        <v>15</v>
      </c>
      <c r="G192">
        <v>2</v>
      </c>
      <c r="H192">
        <v>50000</v>
      </c>
      <c r="I192">
        <v>100000</v>
      </c>
      <c r="J192">
        <f>Table1[[#This Row],[Revenue]]*12</f>
        <v>1200000</v>
      </c>
      <c r="L192" s="4"/>
    </row>
    <row r="193" spans="1:13" x14ac:dyDescent="0.35">
      <c r="A193">
        <v>1170</v>
      </c>
      <c r="B193" t="str">
        <f>TEXT(Table1[[#This Row],[Date]], "mmm")</f>
        <v>Mar</v>
      </c>
      <c r="C193" t="s">
        <v>78</v>
      </c>
      <c r="D193" t="s">
        <v>31</v>
      </c>
      <c r="E193" t="s">
        <v>32</v>
      </c>
      <c r="F193" t="s">
        <v>15</v>
      </c>
      <c r="G193">
        <v>3</v>
      </c>
      <c r="H193">
        <v>1500</v>
      </c>
      <c r="I193">
        <v>4500</v>
      </c>
      <c r="J193">
        <f>Table1[[#This Row],[Revenue]]*12</f>
        <v>54000</v>
      </c>
      <c r="L193" s="4"/>
    </row>
    <row r="194" spans="1:13" x14ac:dyDescent="0.35">
      <c r="A194">
        <v>1126</v>
      </c>
      <c r="B194" t="str">
        <f>TEXT(Table1[[#This Row],[Date]], "mmm")</f>
        <v>Mar</v>
      </c>
      <c r="C194" t="s">
        <v>78</v>
      </c>
      <c r="D194" t="s">
        <v>31</v>
      </c>
      <c r="E194" t="s">
        <v>18</v>
      </c>
      <c r="F194" t="s">
        <v>11</v>
      </c>
      <c r="G194">
        <v>4</v>
      </c>
      <c r="H194">
        <v>2000</v>
      </c>
      <c r="I194">
        <v>8000</v>
      </c>
      <c r="J194">
        <f>Table1[[#This Row],[Revenue]]*12</f>
        <v>96000</v>
      </c>
      <c r="L194" s="4"/>
    </row>
    <row r="195" spans="1:13" x14ac:dyDescent="0.35">
      <c r="A195">
        <v>1184</v>
      </c>
      <c r="B195" t="str">
        <f>TEXT(Table1[[#This Row],[Date]], "mmm")</f>
        <v>Mar</v>
      </c>
      <c r="C195" t="s">
        <v>78</v>
      </c>
      <c r="D195" t="s">
        <v>17</v>
      </c>
      <c r="E195" t="s">
        <v>18</v>
      </c>
      <c r="F195" t="s">
        <v>11</v>
      </c>
      <c r="G195">
        <v>10</v>
      </c>
      <c r="H195">
        <v>2000</v>
      </c>
      <c r="I195">
        <v>20000</v>
      </c>
      <c r="J195">
        <f>Table1[[#This Row],[Revenue]]*12</f>
        <v>240000</v>
      </c>
      <c r="L195" s="4"/>
    </row>
    <row r="196" spans="1:13" x14ac:dyDescent="0.35">
      <c r="A196">
        <v>1093</v>
      </c>
      <c r="B196" t="str">
        <f>TEXT(Table1[[#This Row],[Date]], "mmm")</f>
        <v>Mar</v>
      </c>
      <c r="C196" t="s">
        <v>78</v>
      </c>
      <c r="D196" t="s">
        <v>17</v>
      </c>
      <c r="E196" t="s">
        <v>45</v>
      </c>
      <c r="F196" t="s">
        <v>11</v>
      </c>
      <c r="G196">
        <v>8</v>
      </c>
      <c r="H196">
        <v>7000</v>
      </c>
      <c r="I196">
        <v>56000</v>
      </c>
      <c r="J196">
        <f>Table1[[#This Row],[Revenue]]*12</f>
        <v>672000</v>
      </c>
      <c r="L196" s="4"/>
    </row>
    <row r="197" spans="1:13" x14ac:dyDescent="0.35">
      <c r="A197">
        <v>1142</v>
      </c>
      <c r="B197" t="str">
        <f>TEXT(Table1[[#This Row],[Date]], "mmm")</f>
        <v>Mar</v>
      </c>
      <c r="C197" t="s">
        <v>78</v>
      </c>
      <c r="D197" t="s">
        <v>31</v>
      </c>
      <c r="E197" t="s">
        <v>18</v>
      </c>
      <c r="F197" t="s">
        <v>11</v>
      </c>
      <c r="G197">
        <v>4</v>
      </c>
      <c r="H197">
        <v>2000</v>
      </c>
      <c r="I197">
        <v>8000</v>
      </c>
      <c r="J197">
        <f>Table1[[#This Row],[Revenue]]*12</f>
        <v>96000</v>
      </c>
      <c r="L197" s="4"/>
    </row>
    <row r="198" spans="1:13" x14ac:dyDescent="0.35">
      <c r="A198">
        <v>1098</v>
      </c>
      <c r="B198" t="str">
        <f>TEXT(Table1[[#This Row],[Date]], "mmm")</f>
        <v>Mar</v>
      </c>
      <c r="C198" t="s">
        <v>81</v>
      </c>
      <c r="D198" t="s">
        <v>9</v>
      </c>
      <c r="E198" t="s">
        <v>18</v>
      </c>
      <c r="F198" t="s">
        <v>11</v>
      </c>
      <c r="G198">
        <v>3</v>
      </c>
      <c r="H198">
        <v>2000</v>
      </c>
      <c r="I198">
        <v>6000</v>
      </c>
      <c r="J198">
        <f>Table1[[#This Row],[Revenue]]*12</f>
        <v>72000</v>
      </c>
      <c r="L198" s="4"/>
    </row>
    <row r="199" spans="1:13" x14ac:dyDescent="0.35">
      <c r="A199">
        <v>1011</v>
      </c>
      <c r="B199" t="str">
        <f>TEXT(Table1[[#This Row],[Date]], "mmm")</f>
        <v>Mar</v>
      </c>
      <c r="C199" t="s">
        <v>30</v>
      </c>
      <c r="D199" t="s">
        <v>31</v>
      </c>
      <c r="E199" t="s">
        <v>32</v>
      </c>
      <c r="F199" t="s">
        <v>15</v>
      </c>
      <c r="G199">
        <v>10</v>
      </c>
      <c r="H199">
        <v>1500</v>
      </c>
      <c r="I199">
        <v>15000</v>
      </c>
      <c r="J199">
        <f>Table1[[#This Row],[Revenue]]*12</f>
        <v>180000</v>
      </c>
      <c r="L199" s="4"/>
    </row>
    <row r="200" spans="1:13" x14ac:dyDescent="0.35">
      <c r="A200">
        <v>1037</v>
      </c>
      <c r="B200" t="str">
        <f>TEXT(Table1[[#This Row],[Date]], "mmm")</f>
        <v>Mar</v>
      </c>
      <c r="C200" t="s">
        <v>30</v>
      </c>
      <c r="D200" t="s">
        <v>17</v>
      </c>
      <c r="E200" t="s">
        <v>10</v>
      </c>
      <c r="F200" t="s">
        <v>11</v>
      </c>
      <c r="G200">
        <v>2</v>
      </c>
      <c r="H200">
        <v>25000</v>
      </c>
      <c r="I200">
        <v>50000</v>
      </c>
      <c r="J200">
        <f>Table1[[#This Row],[Revenue]]*12</f>
        <v>600000</v>
      </c>
      <c r="L200" s="4"/>
    </row>
    <row r="201" spans="1:13" x14ac:dyDescent="0.35">
      <c r="A201">
        <v>1172</v>
      </c>
      <c r="B201" t="str">
        <f>TEXT(Table1[[#This Row],[Date]], "mmm")</f>
        <v>Mar</v>
      </c>
      <c r="C201" t="s">
        <v>30</v>
      </c>
      <c r="D201" t="s">
        <v>31</v>
      </c>
      <c r="E201" t="s">
        <v>32</v>
      </c>
      <c r="F201" t="s">
        <v>15</v>
      </c>
      <c r="G201">
        <v>4</v>
      </c>
      <c r="H201">
        <v>1500</v>
      </c>
      <c r="I201">
        <v>6000</v>
      </c>
      <c r="J201">
        <f>Table1[[#This Row],[Revenue]]*12</f>
        <v>72000</v>
      </c>
      <c r="L201" s="4"/>
    </row>
    <row r="202" spans="1:13" x14ac:dyDescent="0.35">
      <c r="M202" s="4"/>
    </row>
    <row r="203" spans="1:13" x14ac:dyDescent="0.35">
      <c r="M203" s="4"/>
    </row>
  </sheetData>
  <pageMargins left="0.75" right="0.75" top="1" bottom="1" header="0.5" footer="0.5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 by Quantity </vt:lpstr>
      <vt:lpstr>RCS</vt:lpstr>
      <vt:lpstr>TOP 3 PRODUCT </vt:lpstr>
      <vt:lpstr>Month by Sales </vt:lpstr>
      <vt:lpstr>Catecary by Sales </vt:lpstr>
      <vt:lpstr>Region by Sales </vt:lpstr>
      <vt:lpstr>Region by Profit </vt:lpstr>
      <vt:lpstr>catetory by profit </vt:lpstr>
      <vt:lpstr>Month by profit </vt:lpstr>
      <vt:lpstr>Sheet9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rai</cp:lastModifiedBy>
  <cp:lastPrinted>2026-04-19T08:03:08Z</cp:lastPrinted>
  <dcterms:created xsi:type="dcterms:W3CDTF">2026-04-19T06:05:22Z</dcterms:created>
  <dcterms:modified xsi:type="dcterms:W3CDTF">2026-04-20T13:43:39Z</dcterms:modified>
</cp:coreProperties>
</file>